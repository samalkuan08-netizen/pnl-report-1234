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729" firstSheet="0" activeTab="0" autoFilterDateGrouping="1"/>
  </bookViews>
  <sheets>
    <sheet xmlns:r="http://schemas.openxmlformats.org/officeDocument/2006/relationships" name="P&amp;L 2026 all" sheetId="1" state="visible" r:id="rId1"/>
    <sheet xmlns:r="http://schemas.openxmlformats.org/officeDocument/2006/relationships" name="P&amp;L 2026 TCO" sheetId="2" state="visible" r:id="rId2"/>
    <sheet xmlns:r="http://schemas.openxmlformats.org/officeDocument/2006/relationships" name="P&amp;L KPO" sheetId="3" state="visible" r:id="rId3"/>
    <sheet xmlns:r="http://schemas.openxmlformats.org/officeDocument/2006/relationships" name="P&amp;L 2026 concret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_₽_-;\-* #,##0.00\ _₽_-;_-* &quot;-&quot;??\ _₽_-;_-@_-"/>
    <numFmt numFmtId="165" formatCode="_-* #,##0.00_р_._-;\-* #,##0.00_р_._-;_-* &quot;-&quot;??_р_._-;_-@_-"/>
    <numFmt numFmtId="166" formatCode="#,##0;(#,##0);-"/>
  </numFmts>
  <fonts count="17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family val="2"/>
      <sz val="8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b val="1"/>
      <i val="1"/>
      <sz val="11"/>
      <u val="singleAccounting"/>
      <scheme val="minor"/>
    </font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sz val="8"/>
    </font>
    <font>
      <name val="Arial"/>
      <charset val="204"/>
      <family val="2"/>
      <sz val="8"/>
    </font>
    <font>
      <name val="Calibri"/>
      <charset val="204"/>
      <family val="2"/>
      <color rgb="FFFF0000"/>
      <sz val="11"/>
      <scheme val="minor"/>
    </font>
    <font>
      <name val="Tahoma"/>
      <charset val="204"/>
      <family val="2"/>
      <color indexed="81"/>
      <sz val="10"/>
    </font>
    <font>
      <name val="Tahoma"/>
      <charset val="204"/>
      <family val="2"/>
      <b val="1"/>
      <color indexed="81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002F5496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1" fillId="0" borderId="0"/>
    <xf numFmtId="164" fontId="1" fillId="0" borderId="0"/>
    <xf numFmtId="165" fontId="1" fillId="0" borderId="0"/>
    <xf numFmtId="0" fontId="6" fillId="0" borderId="0"/>
    <xf numFmtId="165" fontId="1" fillId="0" borderId="0"/>
    <xf numFmtId="0" fontId="7" fillId="0" borderId="0"/>
    <xf numFmtId="164" fontId="7" fillId="0" borderId="0"/>
    <xf numFmtId="164" fontId="1" fillId="0" borderId="0"/>
    <xf numFmtId="165" fontId="1" fillId="0" borderId="0"/>
    <xf numFmtId="9" fontId="7" fillId="0" borderId="0"/>
    <xf numFmtId="0" fontId="3" fillId="0" borderId="0"/>
    <xf numFmtId="0" fontId="6" fillId="0" borderId="0"/>
    <xf numFmtId="0" fontId="10" fillId="0" borderId="0"/>
    <xf numFmtId="0" fontId="10" fillId="0" borderId="0"/>
    <xf numFmtId="9" fontId="1" fillId="0" borderId="0"/>
  </cellStyleXfs>
  <cellXfs count="69">
    <xf numFmtId="0" fontId="0" fillId="0" borderId="0" pivotButton="0" quotePrefix="0" xfId="0"/>
    <xf numFmtId="164" fontId="0" fillId="0" borderId="0" pivotButton="0" quotePrefix="0" xfId="1"/>
    <xf numFmtId="164" fontId="2" fillId="0" borderId="1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2" fillId="0" borderId="3" applyAlignment="1" pivotButton="0" quotePrefix="0" xfId="1">
      <alignment horizontal="right"/>
    </xf>
    <xf numFmtId="164" fontId="2" fillId="0" borderId="4" applyAlignment="1" pivotButton="0" quotePrefix="0" xfId="1">
      <alignment horizontal="right"/>
    </xf>
    <xf numFmtId="164" fontId="2" fillId="0" borderId="5" applyAlignment="1" pivotButton="0" quotePrefix="0" xfId="1">
      <alignment horizontal="right"/>
    </xf>
    <xf numFmtId="164" fontId="0" fillId="0" borderId="6" applyAlignment="1" pivotButton="0" quotePrefix="0" xfId="1">
      <alignment horizontal="right" wrapText="1"/>
    </xf>
    <xf numFmtId="164" fontId="0" fillId="0" borderId="0" applyAlignment="1" pivotButton="0" quotePrefix="0" xfId="1">
      <alignment horizontal="right" wrapText="1"/>
    </xf>
    <xf numFmtId="164" fontId="2" fillId="0" borderId="0" pivotButton="0" quotePrefix="0" xfId="1"/>
    <xf numFmtId="164" fontId="2" fillId="0" borderId="7" applyAlignment="1" pivotButton="0" quotePrefix="0" xfId="1">
      <alignment horizontal="right"/>
    </xf>
    <xf numFmtId="164" fontId="4" fillId="2" borderId="0" applyAlignment="1" pivotButton="0" quotePrefix="0" xfId="1">
      <alignment horizontal="right"/>
    </xf>
    <xf numFmtId="164" fontId="4" fillId="3" borderId="8" applyAlignment="1" pivotButton="0" quotePrefix="0" xfId="1">
      <alignment horizontal="right" wrapText="1"/>
    </xf>
    <xf numFmtId="164" fontId="4" fillId="3" borderId="2" applyAlignment="1" pivotButton="0" quotePrefix="0" xfId="1">
      <alignment horizontal="right" wrapText="1"/>
    </xf>
    <xf numFmtId="164" fontId="4" fillId="3" borderId="9" applyAlignment="1" pivotButton="0" quotePrefix="0" xfId="1">
      <alignment horizontal="right" wrapText="1"/>
    </xf>
    <xf numFmtId="164" fontId="1" fillId="0" borderId="0" applyAlignment="1" pivotButton="0" quotePrefix="0" xfId="1">
      <alignment horizontal="right"/>
    </xf>
    <xf numFmtId="164" fontId="2" fillId="2" borderId="0" applyAlignment="1" pivotButton="0" quotePrefix="0" xfId="1">
      <alignment horizontal="right"/>
    </xf>
    <xf numFmtId="164" fontId="8" fillId="0" borderId="0" pivotButton="0" quotePrefix="0" xfId="1"/>
    <xf numFmtId="164" fontId="8" fillId="0" borderId="0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0" fillId="0" borderId="0" pivotButton="0" quotePrefix="0" xfId="1"/>
    <xf numFmtId="164" fontId="1" fillId="0" borderId="0" applyAlignment="1" pivotButton="0" quotePrefix="0" xfId="1">
      <alignment horizontal="right"/>
    </xf>
    <xf numFmtId="0" fontId="2" fillId="0" borderId="0" applyAlignment="1" pivotButton="0" quotePrefix="0" xfId="1">
      <alignment horizontal="center" vertical="center"/>
    </xf>
    <xf numFmtId="9" fontId="0" fillId="0" borderId="0" pivotButton="0" quotePrefix="0" xfId="14"/>
    <xf numFmtId="9" fontId="11" fillId="0" borderId="0" pivotButton="0" quotePrefix="0" xfId="14"/>
    <xf numFmtId="164" fontId="0" fillId="0" borderId="0" applyAlignment="1" pivotButton="0" quotePrefix="0" xfId="1">
      <alignment horizontal="right" wrapText="1"/>
    </xf>
    <xf numFmtId="164" fontId="8" fillId="0" borderId="0" applyAlignment="1" pivotButton="0" quotePrefix="0" xfId="1">
      <alignment horizontal="right"/>
    </xf>
    <xf numFmtId="164" fontId="8" fillId="0" borderId="0" pivotButton="0" quotePrefix="0" xfId="1"/>
    <xf numFmtId="164" fontId="2" fillId="0" borderId="7" applyAlignment="1" pivotButton="0" quotePrefix="0" xfId="1">
      <alignment horizontal="right"/>
    </xf>
    <xf numFmtId="164" fontId="0" fillId="0" borderId="6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64" fontId="1" fillId="4" borderId="0" applyAlignment="1" pivotButton="0" quotePrefix="0" xfId="1">
      <alignment horizontal="right"/>
    </xf>
    <xf numFmtId="164" fontId="0" fillId="0" borderId="0" applyAlignment="1" pivotButton="0" quotePrefix="0" xfId="1">
      <alignment horizontal="right" wrapText="1"/>
    </xf>
    <xf numFmtId="164" fontId="0" fillId="4" borderId="0" applyAlignment="1" pivotButton="0" quotePrefix="0" xfId="1">
      <alignment horizontal="right"/>
    </xf>
    <xf numFmtId="164" fontId="0" fillId="0" borderId="6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64" fontId="2" fillId="4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4" fillId="5" borderId="0" applyAlignment="1" pivotButton="0" quotePrefix="0" xfId="1">
      <alignment horizontal="right"/>
    </xf>
    <xf numFmtId="0" fontId="2" fillId="5" borderId="0" applyAlignment="1" pivotButton="0" quotePrefix="0" xfId="1">
      <alignment horizontal="center" vertical="center"/>
    </xf>
    <xf numFmtId="0" fontId="2" fillId="5" borderId="0" applyAlignment="1" pivotButton="0" quotePrefix="0" xfId="1">
      <alignment horizontal="center"/>
    </xf>
    <xf numFmtId="0" fontId="2" fillId="6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left"/>
    </xf>
    <xf numFmtId="164" fontId="0" fillId="0" borderId="0" applyAlignment="1" pivotButton="0" quotePrefix="0" xfId="1">
      <alignment horizontal="left"/>
    </xf>
    <xf numFmtId="164" fontId="8" fillId="0" borderId="0" applyAlignment="1" pivotButton="0" quotePrefix="0" xfId="1">
      <alignment horizontal="left"/>
    </xf>
    <xf numFmtId="164" fontId="8" fillId="0" borderId="0" applyAlignment="1" pivotButton="0" quotePrefix="0" xfId="1">
      <alignment horizontal="left"/>
    </xf>
    <xf numFmtId="164" fontId="2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1" fillId="4" borderId="0" applyAlignment="1" pivotButton="0" quotePrefix="0" xfId="1">
      <alignment horizontal="right"/>
    </xf>
    <xf numFmtId="164" fontId="0" fillId="4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2" fillId="4" borderId="0" applyAlignment="1" pivotButton="0" quotePrefix="0" xfId="1">
      <alignment horizontal="right"/>
    </xf>
    <xf numFmtId="0" fontId="1" fillId="4" borderId="0" applyAlignment="1" pivotButton="0" quotePrefix="0" xfId="0">
      <alignment horizontal="right"/>
    </xf>
    <xf numFmtId="164" fontId="1" fillId="4" borderId="0" pivotButton="0" quotePrefix="0" xfId="0"/>
    <xf numFmtId="0" fontId="1" fillId="0" borderId="0" applyAlignment="1" pivotButton="0" quotePrefix="0" xfId="0">
      <alignment horizontal="right"/>
    </xf>
    <xf numFmtId="164" fontId="1" fillId="0" borderId="0" pivotButton="0" quotePrefix="0" xfId="0"/>
    <xf numFmtId="0" fontId="14" fillId="7" borderId="0" pivotButton="0" quotePrefix="0" xfId="0"/>
    <xf numFmtId="166" fontId="0" fillId="7" borderId="0" pivotButton="0" quotePrefix="0" xfId="0"/>
    <xf numFmtId="166" fontId="0" fillId="7" borderId="0" pivotButton="0" quotePrefix="0" xfId="14"/>
    <xf numFmtId="166" fontId="0" fillId="7" borderId="0" applyAlignment="1" pivotButton="0" quotePrefix="0" xfId="1">
      <alignment horizontal="right"/>
    </xf>
    <xf numFmtId="0" fontId="15" fillId="0" borderId="0" pivotButton="0" quotePrefix="0" xfId="0"/>
    <xf numFmtId="166" fontId="0" fillId="0" borderId="0" pivotButton="0" quotePrefix="0" xfId="0"/>
    <xf numFmtId="166" fontId="0" fillId="0" borderId="0" pivotButton="0" quotePrefix="0" xfId="14"/>
    <xf numFmtId="166" fontId="0" fillId="0" borderId="0" applyAlignment="1" pivotButton="0" quotePrefix="0" xfId="1">
      <alignment horizontal="right"/>
    </xf>
    <xf numFmtId="0" fontId="16" fillId="0" borderId="0" pivotButton="0" quotePrefix="0" xfId="0"/>
  </cellXfs>
  <cellStyles count="15">
    <cellStyle name="Обычный" xfId="0" builtinId="0"/>
    <cellStyle name="Финансовый" xfId="1" builtinId="3"/>
    <cellStyle name="Финансовый 2" xfId="2"/>
    <cellStyle name="Обычный 2" xfId="3"/>
    <cellStyle name="Comma 4" xfId="4"/>
    <cellStyle name="Normal 2" xfId="5"/>
    <cellStyle name="Comma 2" xfId="6"/>
    <cellStyle name="Финансовый 2 2" xfId="7"/>
    <cellStyle name="Comma 3" xfId="8"/>
    <cellStyle name="Percent 2" xfId="9"/>
    <cellStyle name="Normal 3" xfId="10"/>
    <cellStyle name="Normal 4" xfId="11"/>
    <cellStyle name="Normal 5" xfId="12"/>
    <cellStyle name="Normal 6" xfId="13"/>
    <cellStyle name="Процентный" xfId="14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comments/comment2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comments/comment3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65"/>
  <sheetViews>
    <sheetView tabSelected="1" zoomScale="80" zoomScaleNormal="80" workbookViewId="0">
      <pane ySplit="1" topLeftCell="A30" activePane="bottomLeft" state="frozen"/>
      <selection pane="bottomLeft" activeCell="B2" sqref="B2"/>
    </sheetView>
  </sheetViews>
  <sheetFormatPr baseColWidth="8" defaultColWidth="9.109375" defaultRowHeight="14.4"/>
  <cols>
    <col width="2.88671875" customWidth="1" style="23" min="1" max="1"/>
    <col width="40.21875" customWidth="1" style="23" min="2" max="2"/>
    <col width="18.33203125" bestFit="1" customWidth="1" style="23" min="3" max="9"/>
    <col width="17.77734375" bestFit="1" customWidth="1" style="23" min="10" max="13"/>
    <col width="23.77734375" bestFit="1" customWidth="1" style="23" min="14" max="14"/>
    <col width="19.44140625" bestFit="1" customWidth="1" style="11" min="15" max="15"/>
    <col width="8.77734375" customWidth="1" style="23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25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5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ht="14.4" customFormat="1" customHeight="1" s="23">
      <c r="B3" s="38" t="inlineStr">
        <is>
          <t>Доход от реализации</t>
        </is>
      </c>
      <c r="C3" s="33">
        <f>'P&amp;L 2026 TCO'!C3+'P&amp;L 2026 concrete'!C3+'P&amp;L KPO'!C3</f>
        <v/>
      </c>
      <c r="D3" s="33">
        <f>'P&amp;L 2026 TCO'!D3+'P&amp;L 2026 concrete'!D3+'P&amp;L KPO'!D3</f>
        <v/>
      </c>
      <c r="E3" s="33">
        <f>'P&amp;L 2026 TCO'!E3+'P&amp;L 2026 concrete'!E3+'P&amp;L KPO'!E3</f>
        <v/>
      </c>
      <c r="F3" s="33">
        <f>'P&amp;L 2026 TCO'!F3+'P&amp;L 2026 concrete'!F3</f>
        <v/>
      </c>
      <c r="G3" s="33">
        <f>'P&amp;L 2026 TCO'!G3+'P&amp;L 2026 concrete'!G3</f>
        <v/>
      </c>
      <c r="H3" s="33">
        <f>'P&amp;L 2026 TCO'!H3+'P&amp;L 2026 concrete'!H3</f>
        <v/>
      </c>
      <c r="I3" s="33">
        <f>'P&amp;L 2026 TCO'!I3+'P&amp;L 2026 concrete'!I3</f>
        <v/>
      </c>
      <c r="J3" s="33">
        <f>'P&amp;L 2026 TCO'!J3+'P&amp;L 2026 concrete'!J3</f>
        <v/>
      </c>
      <c r="K3" s="33">
        <f>'P&amp;L 2026 TCO'!K3+'P&amp;L 2026 concrete'!K3</f>
        <v/>
      </c>
      <c r="L3" s="33">
        <f>'P&amp;L 2026 TCO'!L3+'P&amp;L 2026 concrete'!L3</f>
        <v/>
      </c>
      <c r="M3" s="33">
        <f>'P&amp;L 2026 TCO'!M3+'P&amp;L 2026 concrete'!M3</f>
        <v/>
      </c>
      <c r="N3" s="33">
        <f>'P&amp;L 2026 TCO'!N3+'P&amp;L 2026 concrete'!N3</f>
        <v/>
      </c>
      <c r="O3" s="31">
        <f>SUM(C3:N3)</f>
        <v/>
      </c>
    </row>
    <row r="4" customFormat="1" s="23">
      <c r="B4" s="38" t="inlineStr">
        <is>
          <t>Доход от сдачи в аренду</t>
        </is>
      </c>
      <c r="C4" s="33">
        <f>'P&amp;L 2026 concrete'!C4</f>
        <v/>
      </c>
      <c r="D4" s="33">
        <f>'P&amp;L 2026 concrete'!D4</f>
        <v/>
      </c>
      <c r="E4" s="33">
        <f>'P&amp;L 2026 concrete'!E4</f>
        <v/>
      </c>
      <c r="F4" s="33">
        <f>'P&amp;L 2026 concrete'!F4</f>
        <v/>
      </c>
      <c r="G4" s="33">
        <f>'P&amp;L 2026 concrete'!G4</f>
        <v/>
      </c>
      <c r="H4" s="33">
        <f>'P&amp;L 2026 concrete'!H4</f>
        <v/>
      </c>
      <c r="I4" s="33">
        <f>'P&amp;L 2026 concrete'!I4</f>
        <v/>
      </c>
      <c r="J4" s="33">
        <f>'P&amp;L 2026 concrete'!J4</f>
        <v/>
      </c>
      <c r="K4" s="33">
        <f>'P&amp;L 2026 concrete'!K4</f>
        <v/>
      </c>
      <c r="L4" s="33">
        <f>'P&amp;L 2026 concrete'!L4</f>
        <v/>
      </c>
      <c r="M4" s="33">
        <f>'P&amp;L 2026 concrete'!M4</f>
        <v/>
      </c>
      <c r="N4" s="33">
        <f>'P&amp;L 2026 concrete'!N4</f>
        <v/>
      </c>
      <c r="O4" s="31">
        <f>SUM(C4:N4)</f>
        <v/>
      </c>
    </row>
    <row r="5" customFormat="1" s="23">
      <c r="B5" s="38" t="inlineStr">
        <is>
          <t>Прочий доход</t>
        </is>
      </c>
      <c r="C5" s="33">
        <f>'P&amp;L 2026 concrete'!C5</f>
        <v/>
      </c>
      <c r="D5" s="33">
        <f>'P&amp;L 2026 concrete'!D5</f>
        <v/>
      </c>
      <c r="E5" s="33">
        <f>'P&amp;L 2026 concrete'!E5</f>
        <v/>
      </c>
      <c r="F5" s="33">
        <f>'P&amp;L 2026 concrete'!F5</f>
        <v/>
      </c>
      <c r="G5" s="33">
        <f>'P&amp;L 2026 concrete'!G5</f>
        <v/>
      </c>
      <c r="H5" s="33">
        <f>'P&amp;L 2026 concrete'!H5</f>
        <v/>
      </c>
      <c r="I5" s="33">
        <f>'P&amp;L 2026 concrete'!I5</f>
        <v/>
      </c>
      <c r="J5" s="33">
        <f>'P&amp;L 2026 concrete'!J5</f>
        <v/>
      </c>
      <c r="K5" s="33">
        <f>'P&amp;L 2026 concrete'!K5</f>
        <v/>
      </c>
      <c r="L5" s="33">
        <f>'P&amp;L 2026 concrete'!L5</f>
        <v/>
      </c>
      <c r="M5" s="33">
        <f>'P&amp;L 2026 concrete'!M5</f>
        <v/>
      </c>
      <c r="N5" s="33">
        <f>'P&amp;L 2026 concrete'!N5</f>
        <v/>
      </c>
      <c r="O5" s="31">
        <f>SUM(C5:N5)</f>
        <v/>
      </c>
    </row>
    <row r="6">
      <c r="B6" s="38" t="inlineStr">
        <is>
          <t>Прочие доходы (субсидии Даму)</t>
        </is>
      </c>
      <c r="C6" s="39">
        <f>'P&amp;L 2026 concrete'!C6</f>
        <v/>
      </c>
      <c r="D6" s="39">
        <f>'P&amp;L 2026 concrete'!D6</f>
        <v/>
      </c>
      <c r="E6" s="39">
        <f>'P&amp;L 2026 concrete'!E6</f>
        <v/>
      </c>
      <c r="F6" s="39">
        <f>'P&amp;L 2026 concrete'!F6</f>
        <v/>
      </c>
      <c r="G6" s="39">
        <f>'P&amp;L 2026 concrete'!G6</f>
        <v/>
      </c>
      <c r="H6" s="39">
        <f>'P&amp;L 2026 concrete'!H6</f>
        <v/>
      </c>
      <c r="I6" s="39">
        <f>'P&amp;L 2026 concrete'!I6</f>
        <v/>
      </c>
      <c r="J6" s="39">
        <f>'P&amp;L 2026 concrete'!J6</f>
        <v/>
      </c>
      <c r="K6" s="39">
        <f>'P&amp;L 2026 concrete'!K6</f>
        <v/>
      </c>
      <c r="L6" s="39">
        <f>'P&amp;L 2026 concrete'!L6</f>
        <v/>
      </c>
      <c r="M6" s="39">
        <f>'P&amp;L 2026 concrete'!M6</f>
        <v/>
      </c>
      <c r="N6" s="39">
        <f>'P&amp;L 2026 concrete'!N6</f>
        <v/>
      </c>
      <c r="O6" s="31">
        <f>SUM(C6:N6)</f>
        <v/>
      </c>
    </row>
    <row r="7" ht="15" customHeight="1" thickBot="1">
      <c r="B7" s="14" t="inlineStr">
        <is>
          <t xml:space="preserve">ИТОГО </t>
        </is>
      </c>
      <c r="C7" s="15">
        <f>SUM(C3:C6)</f>
        <v/>
      </c>
      <c r="D7" s="15">
        <f>SUM(D3:D6)</f>
        <v/>
      </c>
      <c r="E7" s="15">
        <f>SUM(E3:E6)</f>
        <v/>
      </c>
      <c r="F7" s="15">
        <f>SUM(F3:F6)</f>
        <v/>
      </c>
      <c r="G7" s="15">
        <f>SUM(G3:G6)</f>
        <v/>
      </c>
      <c r="H7" s="15">
        <f>SUM(H3:H6)</f>
        <v/>
      </c>
      <c r="I7" s="15">
        <f>SUM(I3:I6)</f>
        <v/>
      </c>
      <c r="J7" s="15">
        <f>SUM(J3:J6)</f>
        <v/>
      </c>
      <c r="K7" s="15">
        <f>SUM(K3:K6)</f>
        <v/>
      </c>
      <c r="L7" s="15">
        <f>SUM(L3:L6)</f>
        <v/>
      </c>
      <c r="M7" s="15">
        <f>SUM(M3:M6)</f>
        <v/>
      </c>
      <c r="N7" s="15">
        <f>SUM(N3:N6)</f>
        <v/>
      </c>
      <c r="O7" s="16">
        <f>SUM(O2:O6)</f>
        <v/>
      </c>
    </row>
    <row r="8">
      <c r="B8" s="2" t="inlineStr">
        <is>
          <t>Расходы ТШО и Бетон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customFormat="1" s="23">
      <c r="B9" s="53" t="inlineStr">
        <is>
          <t>GPS</t>
        </is>
      </c>
      <c r="C9" s="53">
        <f>'P&amp;L 2026 TCO'!C7+'P&amp;L KPO'!C7+'P&amp;L 2026 concrete'!C9</f>
        <v/>
      </c>
      <c r="D9" s="53">
        <f>'P&amp;L 2026 TCO'!D7+'P&amp;L KPO'!D7+'P&amp;L 2026 concrete'!D9</f>
        <v/>
      </c>
      <c r="E9" s="53">
        <f>'P&amp;L 2026 TCO'!E7+'P&amp;L KPO'!E7+'P&amp;L 2026 concrete'!E9</f>
        <v/>
      </c>
      <c r="F9" s="53">
        <f>'P&amp;L 2026 TCO'!F7+'P&amp;L KPO'!F7+'P&amp;L 2026 concrete'!F9</f>
        <v/>
      </c>
      <c r="G9" s="53">
        <f>'P&amp;L 2026 TCO'!G7+'P&amp;L KPO'!G7+'P&amp;L 2026 concrete'!G9</f>
        <v/>
      </c>
      <c r="H9" s="53">
        <f>'P&amp;L 2026 TCO'!H7+'P&amp;L KPO'!H7+'P&amp;L 2026 concrete'!H9</f>
        <v/>
      </c>
      <c r="I9" s="53">
        <f>'P&amp;L 2026 TCO'!I7+'P&amp;L KPO'!I7+'P&amp;L 2026 concrete'!I9</f>
        <v/>
      </c>
      <c r="J9" s="53">
        <f>'P&amp;L 2026 TCO'!J7+'P&amp;L KPO'!J7+'P&amp;L 2026 concrete'!J9</f>
        <v/>
      </c>
      <c r="K9" s="53">
        <f>'P&amp;L 2026 TCO'!K7+'P&amp;L KPO'!K7+'P&amp;L 2026 concrete'!K9</f>
        <v/>
      </c>
      <c r="L9" s="53">
        <f>'P&amp;L 2026 TCO'!L7+'P&amp;L KPO'!L7+'P&amp;L 2026 concrete'!L9</f>
        <v/>
      </c>
      <c r="M9" s="53">
        <f>'P&amp;L 2026 TCO'!M7+'P&amp;L KPO'!M7+'P&amp;L 2026 concrete'!M9</f>
        <v/>
      </c>
      <c r="N9" s="53">
        <f>'P&amp;L 2026 TCO'!N7+'P&amp;L KPO'!N7+'P&amp;L 2026 concrete'!N9</f>
        <v/>
      </c>
      <c r="O9" s="55">
        <f>SUM(C9:N9)</f>
        <v/>
      </c>
    </row>
    <row r="10" customFormat="1" s="23">
      <c r="B10" s="53" t="inlineStr">
        <is>
          <t>Амортизация</t>
        </is>
      </c>
      <c r="C10" s="53">
        <f>'P&amp;L 2026 TCO'!C8+'P&amp;L KPO'!C8+'P&amp;L 2026 concrete'!C28</f>
        <v/>
      </c>
      <c r="D10" s="53">
        <f>'P&amp;L 2026 TCO'!D8+'P&amp;L KPO'!D8+'P&amp;L 2026 concrete'!D28</f>
        <v/>
      </c>
      <c r="E10" s="53">
        <f>'P&amp;L 2026 TCO'!E8+'P&amp;L KPO'!E8+'P&amp;L 2026 concrete'!E28</f>
        <v/>
      </c>
      <c r="F10" s="53">
        <f>'P&amp;L 2026 TCO'!F8+'P&amp;L KPO'!F8+'P&amp;L 2026 concrete'!F28</f>
        <v/>
      </c>
      <c r="G10" s="53">
        <f>'P&amp;L 2026 TCO'!G8+'P&amp;L KPO'!G8+'P&amp;L 2026 concrete'!G28</f>
        <v/>
      </c>
      <c r="H10" s="53">
        <f>'P&amp;L 2026 TCO'!H8+'P&amp;L KPO'!H8+'P&amp;L 2026 concrete'!H28</f>
        <v/>
      </c>
      <c r="I10" s="53">
        <f>'P&amp;L 2026 TCO'!I8+'P&amp;L KPO'!I8+'P&amp;L 2026 concrete'!I28</f>
        <v/>
      </c>
      <c r="J10" s="53">
        <f>'P&amp;L 2026 TCO'!J8+'P&amp;L KPO'!J8+'P&amp;L 2026 concrete'!J28</f>
        <v/>
      </c>
      <c r="K10" s="53">
        <f>'P&amp;L 2026 TCO'!K8+'P&amp;L KPO'!K8+'P&amp;L 2026 concrete'!K28</f>
        <v/>
      </c>
      <c r="L10" s="53">
        <f>'P&amp;L 2026 TCO'!L8+'P&amp;L KPO'!L8+'P&amp;L 2026 concrete'!L28</f>
        <v/>
      </c>
      <c r="M10" s="53">
        <f>'P&amp;L 2026 TCO'!M8+'P&amp;L KPO'!M8+'P&amp;L 2026 concrete'!M28</f>
        <v/>
      </c>
      <c r="N10" s="53">
        <f>'P&amp;L 2026 TCO'!N8+'P&amp;L KPO'!N8+'P&amp;L 2026 concrete'!N28</f>
        <v/>
      </c>
      <c r="O10" s="55">
        <f>SUM(C10:N10)</f>
        <v/>
      </c>
    </row>
    <row r="11">
      <c r="B11" s="52" t="inlineStr">
        <is>
          <t>Аренда офиса</t>
        </is>
      </c>
      <c r="C11" s="52">
        <f>'P&amp;L 2026 TCO'!C9+'P&amp;L KPO'!C9</f>
        <v/>
      </c>
      <c r="D11" s="52">
        <f>'P&amp;L 2026 TCO'!D9+'P&amp;L KPO'!D9</f>
        <v/>
      </c>
      <c r="E11" s="52">
        <f>'P&amp;L 2026 TCO'!E9+'P&amp;L KPO'!E9</f>
        <v/>
      </c>
      <c r="F11" s="52">
        <f>'P&amp;L 2026 TCO'!F9+'P&amp;L KPO'!F9</f>
        <v/>
      </c>
      <c r="G11" s="52">
        <f>'P&amp;L 2026 TCO'!G9+'P&amp;L KPO'!G9</f>
        <v/>
      </c>
      <c r="H11" s="52">
        <f>'P&amp;L 2026 TCO'!H9+'P&amp;L KPO'!H9</f>
        <v/>
      </c>
      <c r="I11" s="52">
        <f>'P&amp;L 2026 TCO'!I9+'P&amp;L KPO'!I9</f>
        <v/>
      </c>
      <c r="J11" s="52">
        <f>'P&amp;L 2026 TCO'!J9+'P&amp;L KPO'!J9</f>
        <v/>
      </c>
      <c r="K11" s="52">
        <f>'P&amp;L 2026 TCO'!K9+'P&amp;L KPO'!K9</f>
        <v/>
      </c>
      <c r="L11" s="52">
        <f>'P&amp;L 2026 TCO'!L9+'P&amp;L KPO'!L9</f>
        <v/>
      </c>
      <c r="M11" s="52">
        <f>'P&amp;L 2026 TCO'!M9+'P&amp;L KPO'!M9</f>
        <v/>
      </c>
      <c r="N11" s="52">
        <f>'P&amp;L 2026 TCO'!N9+'P&amp;L KPO'!N9</f>
        <v/>
      </c>
      <c r="O11" s="55">
        <f>SUM(C11:N11)</f>
        <v/>
      </c>
    </row>
    <row r="12" customFormat="1" s="23">
      <c r="B12" s="53" t="inlineStr">
        <is>
          <t>Аренда техники</t>
        </is>
      </c>
      <c r="C12" s="53">
        <f>'P&amp;L 2026 TCO'!C10+'P&amp;L KPO'!C10+'P&amp;L 2026 concrete'!C10</f>
        <v/>
      </c>
      <c r="D12" s="53">
        <f>'P&amp;L 2026 TCO'!D10+'P&amp;L KPO'!D10+'P&amp;L 2026 concrete'!D10</f>
        <v/>
      </c>
      <c r="E12" s="53">
        <f>'P&amp;L 2026 TCO'!E10+'P&amp;L KPO'!E10+'P&amp;L 2026 concrete'!E10</f>
        <v/>
      </c>
      <c r="F12" s="53">
        <f>'P&amp;L 2026 TCO'!F10+'P&amp;L KPO'!F10+'P&amp;L 2026 concrete'!F10</f>
        <v/>
      </c>
      <c r="G12" s="53">
        <f>'P&amp;L 2026 TCO'!G10+'P&amp;L KPO'!G10+'P&amp;L 2026 concrete'!G10</f>
        <v/>
      </c>
      <c r="H12" s="53">
        <f>'P&amp;L 2026 TCO'!H10+'P&amp;L KPO'!H10+'P&amp;L 2026 concrete'!H10</f>
        <v/>
      </c>
      <c r="I12" s="53">
        <f>'P&amp;L 2026 TCO'!I10+'P&amp;L KPO'!I10+'P&amp;L 2026 concrete'!I10</f>
        <v/>
      </c>
      <c r="J12" s="53">
        <f>'P&amp;L 2026 TCO'!J10+'P&amp;L KPO'!J10+'P&amp;L 2026 concrete'!J10</f>
        <v/>
      </c>
      <c r="K12" s="53">
        <f>'P&amp;L 2026 TCO'!K10+'P&amp;L KPO'!K10+'P&amp;L 2026 concrete'!K10</f>
        <v/>
      </c>
      <c r="L12" s="53">
        <f>'P&amp;L 2026 TCO'!L10+'P&amp;L KPO'!L10+'P&amp;L 2026 concrete'!L10</f>
        <v/>
      </c>
      <c r="M12" s="53">
        <f>'P&amp;L 2026 TCO'!M10+'P&amp;L KPO'!M10+'P&amp;L 2026 concrete'!M10</f>
        <v/>
      </c>
      <c r="N12" s="53">
        <f>'P&amp;L 2026 TCO'!N10+'P&amp;L KPO'!N10+'P&amp;L 2026 concrete'!N10</f>
        <v/>
      </c>
      <c r="O12" s="55">
        <f>SUM(C12:N12)</f>
        <v/>
      </c>
    </row>
    <row r="13" customFormat="1" s="23">
      <c r="B13" s="53" t="inlineStr">
        <is>
          <t>База содержание</t>
        </is>
      </c>
      <c r="C13" s="53">
        <f>'P&amp;L 2026 concrete'!C11</f>
        <v/>
      </c>
      <c r="D13" s="53">
        <f>'P&amp;L 2026 concrete'!D11</f>
        <v/>
      </c>
      <c r="E13" s="53">
        <f>'P&amp;L 2026 concrete'!E11</f>
        <v/>
      </c>
      <c r="F13" s="53">
        <f>'P&amp;L 2026 concrete'!F11</f>
        <v/>
      </c>
      <c r="G13" s="53">
        <f>'P&amp;L 2026 concrete'!G11</f>
        <v/>
      </c>
      <c r="H13" s="53">
        <f>'P&amp;L 2026 concrete'!H11</f>
        <v/>
      </c>
      <c r="I13" s="53">
        <f>'P&amp;L 2026 concrete'!I11</f>
        <v/>
      </c>
      <c r="J13" s="53">
        <f>'P&amp;L 2026 concrete'!J11</f>
        <v/>
      </c>
      <c r="K13" s="53">
        <f>'P&amp;L 2026 concrete'!K11</f>
        <v/>
      </c>
      <c r="L13" s="53">
        <f>'P&amp;L 2026 concrete'!L11</f>
        <v/>
      </c>
      <c r="M13" s="53">
        <f>'P&amp;L 2026 concrete'!M11</f>
        <v/>
      </c>
      <c r="N13" s="53">
        <f>'P&amp;L 2026 concrete'!N11</f>
        <v/>
      </c>
      <c r="O13" s="55">
        <f>SUM(C13:N13)</f>
        <v/>
      </c>
    </row>
    <row r="14" customFormat="1" s="23">
      <c r="B14" s="53" t="inlineStr">
        <is>
          <t>ГСМ</t>
        </is>
      </c>
      <c r="C14" s="53">
        <f>'P&amp;L 2026 TCO'!C11+'P&amp;L KPO'!C11+'P&amp;L 2026 concrete'!C12</f>
        <v/>
      </c>
      <c r="D14" s="53">
        <f>'P&amp;L 2026 TCO'!D11+'P&amp;L KPO'!D11+'P&amp;L 2026 concrete'!D12</f>
        <v/>
      </c>
      <c r="E14" s="53">
        <f>'P&amp;L 2026 TCO'!E11+'P&amp;L KPO'!E11+'P&amp;L 2026 concrete'!E12</f>
        <v/>
      </c>
      <c r="F14" s="53">
        <f>'P&amp;L 2026 TCO'!F11+'P&amp;L KPO'!F11+'P&amp;L 2026 concrete'!F12</f>
        <v/>
      </c>
      <c r="G14" s="53">
        <f>'P&amp;L 2026 TCO'!G11+'P&amp;L KPO'!G11+'P&amp;L 2026 concrete'!G12</f>
        <v/>
      </c>
      <c r="H14" s="53">
        <f>'P&amp;L 2026 TCO'!H11+'P&amp;L KPO'!H11+'P&amp;L 2026 concrete'!H12</f>
        <v/>
      </c>
      <c r="I14" s="53">
        <f>'P&amp;L 2026 TCO'!I11+'P&amp;L KPO'!I11+'P&amp;L 2026 concrete'!I12</f>
        <v/>
      </c>
      <c r="J14" s="53">
        <f>'P&amp;L 2026 TCO'!J11+'P&amp;L KPO'!J11+'P&amp;L 2026 concrete'!J12</f>
        <v/>
      </c>
      <c r="K14" s="53">
        <f>'P&amp;L 2026 TCO'!K11+'P&amp;L KPO'!K11+'P&amp;L 2026 concrete'!K12</f>
        <v/>
      </c>
      <c r="L14" s="53">
        <f>'P&amp;L 2026 TCO'!L11+'P&amp;L KPO'!L11+'P&amp;L 2026 concrete'!L12</f>
        <v/>
      </c>
      <c r="M14" s="53">
        <f>'P&amp;L 2026 TCO'!M11+'P&amp;L KPO'!M11+'P&amp;L 2026 concrete'!M12</f>
        <v/>
      </c>
      <c r="N14" s="53">
        <f>'P&amp;L 2026 TCO'!N11+'P&amp;L KPO'!N11+'P&amp;L 2026 concrete'!N12</f>
        <v/>
      </c>
      <c r="O14" s="55">
        <f>SUM(C14:N14)</f>
        <v/>
      </c>
    </row>
    <row r="15" customFormat="1" s="23">
      <c r="B15" s="53" t="inlineStr">
        <is>
          <t>Заработная плата</t>
        </is>
      </c>
      <c r="C15" s="52">
        <f>'P&amp;L 2026 TCO'!C12+'P&amp;L KPO'!C12+'P&amp;L 2026 concrete'!C13</f>
        <v/>
      </c>
      <c r="D15" s="52">
        <f>'P&amp;L 2026 TCO'!D12+'P&amp;L KPO'!D12+'P&amp;L 2026 concrete'!D13</f>
        <v/>
      </c>
      <c r="E15" s="52">
        <f>'P&amp;L 2026 TCO'!E12+'P&amp;L KPO'!E12+'P&amp;L 2026 concrete'!E13</f>
        <v/>
      </c>
      <c r="F15" s="52">
        <f>'P&amp;L 2026 TCO'!F12+'P&amp;L KPO'!F12+'P&amp;L 2026 concrete'!F13</f>
        <v/>
      </c>
      <c r="G15" s="52">
        <f>'P&amp;L 2026 TCO'!G12+'P&amp;L KPO'!G12+'P&amp;L 2026 concrete'!G13</f>
        <v/>
      </c>
      <c r="H15" s="52">
        <f>'P&amp;L 2026 TCO'!H12+'P&amp;L KPO'!H12+'P&amp;L 2026 concrete'!H13</f>
        <v/>
      </c>
      <c r="I15" s="52">
        <f>'P&amp;L 2026 TCO'!I12+'P&amp;L KPO'!I12+'P&amp;L 2026 concrete'!I13</f>
        <v/>
      </c>
      <c r="J15" s="52">
        <f>'P&amp;L 2026 TCO'!J12+'P&amp;L KPO'!J12+'P&amp;L 2026 concrete'!J13</f>
        <v/>
      </c>
      <c r="K15" s="52">
        <f>'P&amp;L 2026 TCO'!K12+'P&amp;L KPO'!K12+'P&amp;L 2026 concrete'!K13</f>
        <v/>
      </c>
      <c r="L15" s="52">
        <f>'P&amp;L 2026 TCO'!L12+'P&amp;L KPO'!L12+'P&amp;L 2026 concrete'!L13</f>
        <v/>
      </c>
      <c r="M15" s="52">
        <f>'P&amp;L 2026 TCO'!M12+'P&amp;L KPO'!M12+'P&amp;L 2026 concrete'!M13</f>
        <v/>
      </c>
      <c r="N15" s="52">
        <f>'P&amp;L 2026 TCO'!N12+'P&amp;L KPO'!N12+'P&amp;L 2026 concrete'!N13</f>
        <v/>
      </c>
      <c r="O15" s="55">
        <f>SUM(C15:N15)</f>
        <v/>
      </c>
    </row>
    <row r="16" customFormat="1" s="23">
      <c r="B16" s="53" t="inlineStr">
        <is>
          <t>Интернет+связь</t>
        </is>
      </c>
      <c r="C16" s="53">
        <f>'P&amp;L 2026 TCO'!C13+'P&amp;L KPO'!C13+'P&amp;L 2026 concrete'!C14</f>
        <v/>
      </c>
      <c r="D16" s="53">
        <f>'P&amp;L 2026 TCO'!D13+'P&amp;L KPO'!D13+'P&amp;L 2026 concrete'!D14</f>
        <v/>
      </c>
      <c r="E16" s="53">
        <f>'P&amp;L 2026 TCO'!E13+'P&amp;L KPO'!E13+'P&amp;L 2026 concrete'!E14</f>
        <v/>
      </c>
      <c r="F16" s="53">
        <f>'P&amp;L 2026 TCO'!F13+'P&amp;L KPO'!F13+'P&amp;L 2026 concrete'!F14</f>
        <v/>
      </c>
      <c r="G16" s="53">
        <f>'P&amp;L 2026 TCO'!G13+'P&amp;L KPO'!G13+'P&amp;L 2026 concrete'!G14</f>
        <v/>
      </c>
      <c r="H16" s="53">
        <f>'P&amp;L 2026 TCO'!H13+'P&amp;L KPO'!H13+'P&amp;L 2026 concrete'!H14</f>
        <v/>
      </c>
      <c r="I16" s="53">
        <f>'P&amp;L 2026 TCO'!I13+'P&amp;L KPO'!I13+'P&amp;L 2026 concrete'!I14</f>
        <v/>
      </c>
      <c r="J16" s="53">
        <f>'P&amp;L 2026 TCO'!J13+'P&amp;L KPO'!J13+'P&amp;L 2026 concrete'!J14</f>
        <v/>
      </c>
      <c r="K16" s="53">
        <f>'P&amp;L 2026 TCO'!K13+'P&amp;L KPO'!K13+'P&amp;L 2026 concrete'!K14</f>
        <v/>
      </c>
      <c r="L16" s="53">
        <f>'P&amp;L 2026 TCO'!L13+'P&amp;L KPO'!L13+'P&amp;L 2026 concrete'!L14</f>
        <v/>
      </c>
      <c r="M16" s="53">
        <f>'P&amp;L 2026 TCO'!M13+'P&amp;L KPO'!M13+'P&amp;L 2026 concrete'!M14</f>
        <v/>
      </c>
      <c r="N16" s="53">
        <f>'P&amp;L 2026 TCO'!N13+'P&amp;L KPO'!N13+'P&amp;L 2026 concrete'!N14</f>
        <v/>
      </c>
      <c r="O16" s="55">
        <f>SUM(C16:N16)</f>
        <v/>
      </c>
    </row>
    <row r="17" customFormat="1" s="23">
      <c r="B17" s="53" t="inlineStr">
        <is>
          <t>Коммунальные услуги</t>
        </is>
      </c>
      <c r="C17" s="52">
        <f>'P&amp;L 2026 concrete'!C15</f>
        <v/>
      </c>
      <c r="D17" s="52">
        <f>'P&amp;L 2026 concrete'!D15</f>
        <v/>
      </c>
      <c r="E17" s="52">
        <f>'P&amp;L 2026 concrete'!E15</f>
        <v/>
      </c>
      <c r="F17" s="52">
        <f>'P&amp;L 2026 concrete'!F15</f>
        <v/>
      </c>
      <c r="G17" s="52">
        <f>'P&amp;L 2026 concrete'!G15</f>
        <v/>
      </c>
      <c r="H17" s="52">
        <f>'P&amp;L 2026 concrete'!H15</f>
        <v/>
      </c>
      <c r="I17" s="52">
        <f>'P&amp;L 2026 concrete'!I15</f>
        <v/>
      </c>
      <c r="J17" s="52">
        <f>'P&amp;L 2026 concrete'!J15</f>
        <v/>
      </c>
      <c r="K17" s="52">
        <f>'P&amp;L 2026 concrete'!K15</f>
        <v/>
      </c>
      <c r="L17" s="52">
        <f>'P&amp;L 2026 concrete'!L15</f>
        <v/>
      </c>
      <c r="M17" s="52">
        <f>'P&amp;L 2026 concrete'!M15</f>
        <v/>
      </c>
      <c r="N17" s="52">
        <f>'P&amp;L 2026 concrete'!N15</f>
        <v/>
      </c>
      <c r="O17" s="55">
        <f>SUM(C17:N17)</f>
        <v/>
      </c>
    </row>
    <row r="18" customFormat="1" s="23">
      <c r="B18" s="53" t="inlineStr">
        <is>
          <t>Мед.обслуживание</t>
        </is>
      </c>
      <c r="C18" s="53">
        <f>'P&amp;L 2026 TCO'!C14+'P&amp;L KPO'!C14</f>
        <v/>
      </c>
      <c r="D18" s="53">
        <f>'P&amp;L 2026 TCO'!D14+'P&amp;L KPO'!D14</f>
        <v/>
      </c>
      <c r="E18" s="53">
        <f>'P&amp;L 2026 TCO'!E14+'P&amp;L KPO'!E14</f>
        <v/>
      </c>
      <c r="F18" s="53">
        <f>'P&amp;L 2026 TCO'!F14+'P&amp;L KPO'!F14</f>
        <v/>
      </c>
      <c r="G18" s="53">
        <f>'P&amp;L 2026 TCO'!G14+'P&amp;L KPO'!G14</f>
        <v/>
      </c>
      <c r="H18" s="53">
        <f>'P&amp;L 2026 TCO'!H14+'P&amp;L KPO'!H14</f>
        <v/>
      </c>
      <c r="I18" s="53">
        <f>'P&amp;L 2026 TCO'!I14+'P&amp;L KPO'!I14</f>
        <v/>
      </c>
      <c r="J18" s="53">
        <f>'P&amp;L 2026 TCO'!J14+'P&amp;L KPO'!J14</f>
        <v/>
      </c>
      <c r="K18" s="53">
        <f>'P&amp;L 2026 TCO'!K14+'P&amp;L KPO'!K14</f>
        <v/>
      </c>
      <c r="L18" s="53">
        <f>'P&amp;L 2026 TCO'!L14+'P&amp;L KPO'!L14</f>
        <v/>
      </c>
      <c r="M18" s="53">
        <f>'P&amp;L 2026 TCO'!M14+'P&amp;L KPO'!M14</f>
        <v/>
      </c>
      <c r="N18" s="53">
        <f>'P&amp;L 2026 TCO'!N14+'P&amp;L KPO'!N14</f>
        <v/>
      </c>
      <c r="O18" s="55">
        <f>SUM(C18:N18)</f>
        <v/>
      </c>
    </row>
    <row r="19" customFormat="1" s="23">
      <c r="B19" s="53" t="inlineStr">
        <is>
          <t>Налоги</t>
        </is>
      </c>
      <c r="C19" s="53">
        <f>'P&amp;L 2026 TCO'!C15+'P&amp;L KPO'!C15+'P&amp;L 2026 concrete'!C16</f>
        <v/>
      </c>
      <c r="D19" s="53">
        <f>'P&amp;L 2026 TCO'!D15+'P&amp;L KPO'!D15+'P&amp;L 2026 concrete'!D16</f>
        <v/>
      </c>
      <c r="E19" s="53">
        <f>'P&amp;L 2026 TCO'!E15+'P&amp;L KPO'!E15+'P&amp;L 2026 concrete'!E16</f>
        <v/>
      </c>
      <c r="F19" s="53">
        <f>'P&amp;L 2026 TCO'!F15+'P&amp;L KPO'!F15+'P&amp;L 2026 concrete'!F16</f>
        <v/>
      </c>
      <c r="G19" s="53">
        <f>'P&amp;L 2026 TCO'!G15+'P&amp;L KPO'!G15+'P&amp;L 2026 concrete'!G16</f>
        <v/>
      </c>
      <c r="H19" s="53">
        <f>'P&amp;L 2026 TCO'!H15+'P&amp;L KPO'!H15+'P&amp;L 2026 concrete'!H16</f>
        <v/>
      </c>
      <c r="I19" s="53">
        <f>'P&amp;L 2026 TCO'!I15+'P&amp;L KPO'!I15+'P&amp;L 2026 concrete'!I16</f>
        <v/>
      </c>
      <c r="J19" s="53">
        <f>'P&amp;L 2026 TCO'!J15+'P&amp;L KPO'!J15+'P&amp;L 2026 concrete'!J16</f>
        <v/>
      </c>
      <c r="K19" s="53">
        <f>'P&amp;L 2026 TCO'!K15+'P&amp;L KPO'!K15+'P&amp;L 2026 concrete'!K16</f>
        <v/>
      </c>
      <c r="L19" s="53">
        <f>'P&amp;L 2026 TCO'!L15+'P&amp;L KPO'!L15+'P&amp;L 2026 concrete'!L16</f>
        <v/>
      </c>
      <c r="M19" s="53">
        <f>'P&amp;L 2026 TCO'!M15+'P&amp;L KPO'!M15+'P&amp;L 2026 concrete'!M16</f>
        <v/>
      </c>
      <c r="N19" s="53">
        <f>'P&amp;L 2026 TCO'!N15+'P&amp;L KPO'!N15+'P&amp;L 2026 concrete'!N16</f>
        <v/>
      </c>
      <c r="O19" s="55">
        <f>SUM(C19:N19)</f>
        <v/>
      </c>
    </row>
    <row r="20" customFormat="1" s="23">
      <c r="B20" s="33" t="inlineStr">
        <is>
          <t>Прочие услуги</t>
        </is>
      </c>
      <c r="C20" s="33">
        <f>'P&amp;L 2026 TCO'!C16+'P&amp;L KPO'!C16+'P&amp;L 2026 concrete'!C17</f>
        <v/>
      </c>
      <c r="D20" s="33">
        <f>'P&amp;L 2026 TCO'!D16+'P&amp;L KPO'!D16+'P&amp;L 2026 concrete'!D17</f>
        <v/>
      </c>
      <c r="E20" s="33">
        <f>'P&amp;L 2026 TCO'!E16+'P&amp;L KPO'!E16+'P&amp;L 2026 concrete'!E17</f>
        <v/>
      </c>
      <c r="F20" s="33">
        <f>'P&amp;L 2026 TCO'!F16+'P&amp;L KPO'!F16+'P&amp;L 2026 concrete'!F17</f>
        <v/>
      </c>
      <c r="G20" s="33">
        <f>'P&amp;L 2026 TCO'!G16+'P&amp;L KPO'!G16+'P&amp;L 2026 concrete'!G17</f>
        <v/>
      </c>
      <c r="H20" s="33">
        <f>'P&amp;L 2026 TCO'!H16+'P&amp;L KPO'!H16+'P&amp;L 2026 concrete'!H17</f>
        <v/>
      </c>
      <c r="I20" s="33">
        <f>'P&amp;L 2026 TCO'!I16+'P&amp;L KPO'!I16+'P&amp;L 2026 concrete'!I17</f>
        <v/>
      </c>
      <c r="J20" s="33">
        <f>'P&amp;L 2026 TCO'!J16+'P&amp;L KPO'!J16+'P&amp;L 2026 concrete'!J17</f>
        <v/>
      </c>
      <c r="K20" s="33">
        <f>'P&amp;L 2026 TCO'!K16+'P&amp;L KPO'!K16+'P&amp;L 2026 concrete'!K17</f>
        <v/>
      </c>
      <c r="L20" s="33">
        <f>'P&amp;L 2026 TCO'!L16+'P&amp;L KPO'!L16+'P&amp;L 2026 concrete'!L17</f>
        <v/>
      </c>
      <c r="M20" s="33">
        <f>'P&amp;L 2026 TCO'!M16+'P&amp;L KPO'!M16+'P&amp;L 2026 concrete'!M17</f>
        <v/>
      </c>
      <c r="N20" s="33">
        <f>'P&amp;L 2026 TCO'!N16+'P&amp;L KPO'!N16+'P&amp;L 2026 concrete'!N17</f>
        <v/>
      </c>
      <c r="O20" s="51">
        <f>SUM(C20:N20)</f>
        <v/>
      </c>
    </row>
    <row r="21" customFormat="1" s="23">
      <c r="B21" s="53" t="inlineStr">
        <is>
          <t>Расходны на наем жилья и Суточные</t>
        </is>
      </c>
      <c r="C21" s="53">
        <f>'P&amp;L 2026 TCO'!C17+'P&amp;L KPO'!C17+'P&amp;L 2026 concrete'!C18</f>
        <v/>
      </c>
      <c r="D21" s="53">
        <f>'P&amp;L 2026 TCO'!D17+'P&amp;L KPO'!D17+'P&amp;L 2026 concrete'!D18</f>
        <v/>
      </c>
      <c r="E21" s="53">
        <f>'P&amp;L 2026 TCO'!E17+'P&amp;L KPO'!E17+'P&amp;L 2026 concrete'!E18</f>
        <v/>
      </c>
      <c r="F21" s="53">
        <f>'P&amp;L 2026 TCO'!F17+'P&amp;L KPO'!F17+'P&amp;L 2026 concrete'!F18</f>
        <v/>
      </c>
      <c r="G21" s="53">
        <f>'P&amp;L 2026 TCO'!G17+'P&amp;L KPO'!G17+'P&amp;L 2026 concrete'!G18</f>
        <v/>
      </c>
      <c r="H21" s="53">
        <f>'P&amp;L 2026 TCO'!H17+'P&amp;L KPO'!H17+'P&amp;L 2026 concrete'!H18</f>
        <v/>
      </c>
      <c r="I21" s="53">
        <f>'P&amp;L 2026 TCO'!I17+'P&amp;L KPO'!I17+'P&amp;L 2026 concrete'!I18</f>
        <v/>
      </c>
      <c r="J21" s="53">
        <f>'P&amp;L 2026 TCO'!J17+'P&amp;L KPO'!J17+'P&amp;L 2026 concrete'!J18</f>
        <v/>
      </c>
      <c r="K21" s="53">
        <f>'P&amp;L 2026 TCO'!K17+'P&amp;L KPO'!K17+'P&amp;L 2026 concrete'!K18</f>
        <v/>
      </c>
      <c r="L21" s="53">
        <f>'P&amp;L 2026 TCO'!L17+'P&amp;L KPO'!L17+'P&amp;L 2026 concrete'!L18</f>
        <v/>
      </c>
      <c r="M21" s="53">
        <f>'P&amp;L 2026 TCO'!M17+'P&amp;L KPO'!M17+'P&amp;L 2026 concrete'!M18</f>
        <v/>
      </c>
      <c r="N21" s="53">
        <f>'P&amp;L 2026 TCO'!N17+'P&amp;L KPO'!N17+'P&amp;L 2026 concrete'!N18</f>
        <v/>
      </c>
      <c r="O21" s="55">
        <f>SUM(C21:N21)</f>
        <v/>
      </c>
    </row>
    <row r="22" customFormat="1" s="23">
      <c r="B22" s="53" t="inlineStr">
        <is>
          <t>Расходы на питание и проживание</t>
        </is>
      </c>
      <c r="C22" s="53">
        <f>'P&amp;L 2026 TCO'!C18+'P&amp;L KPO'!C18</f>
        <v/>
      </c>
      <c r="D22" s="53">
        <f>'P&amp;L 2026 TCO'!D18+'P&amp;L KPO'!D17</f>
        <v/>
      </c>
      <c r="E22" s="53">
        <f>'P&amp;L 2026 TCO'!E18+'P&amp;L KPO'!E18</f>
        <v/>
      </c>
      <c r="F22" s="53">
        <f>'P&amp;L 2026 TCO'!F18+'P&amp;L KPO'!F18</f>
        <v/>
      </c>
      <c r="G22" s="53">
        <f>'P&amp;L 2026 TCO'!G18+'P&amp;L KPO'!G18</f>
        <v/>
      </c>
      <c r="H22" s="53">
        <f>'P&amp;L 2026 TCO'!H18+'P&amp;L KPO'!H18</f>
        <v/>
      </c>
      <c r="I22" s="53">
        <f>'P&amp;L 2026 TCO'!I18+'P&amp;L KPO'!I18</f>
        <v/>
      </c>
      <c r="J22" s="53">
        <f>'P&amp;L 2026 TCO'!J18+'P&amp;L KPO'!J18</f>
        <v/>
      </c>
      <c r="K22" s="53">
        <f>'P&amp;L 2026 TCO'!K18+'P&amp;L KPO'!K18</f>
        <v/>
      </c>
      <c r="L22" s="53">
        <f>'P&amp;L 2026 TCO'!L18+'P&amp;L KPO'!L18</f>
        <v/>
      </c>
      <c r="M22" s="53">
        <f>'P&amp;L 2026 TCO'!M18+'P&amp;L KPO'!M18</f>
        <v/>
      </c>
      <c r="N22" s="53">
        <f>'P&amp;L 2026 TCO'!N18+'P&amp;L KPO'!N18</f>
        <v/>
      </c>
      <c r="O22" s="55">
        <f>SUM(C22:N22)</f>
        <v/>
      </c>
    </row>
    <row r="23" customFormat="1" s="23">
      <c r="B23" s="53" t="inlineStr">
        <is>
          <t>Расходы на проезд</t>
        </is>
      </c>
      <c r="C23" s="53">
        <f>'P&amp;L 2026 TCO'!C19+'P&amp;L KPO'!C19+'P&amp;L 2026 concrete'!C19</f>
        <v/>
      </c>
      <c r="D23" s="53">
        <f>'P&amp;L 2026 TCO'!D19+'P&amp;L KPO'!D19+'P&amp;L 2026 concrete'!D19</f>
        <v/>
      </c>
      <c r="E23" s="53">
        <f>'P&amp;L 2026 TCO'!E19+'P&amp;L KPO'!E19+'P&amp;L 2026 concrete'!E19</f>
        <v/>
      </c>
      <c r="F23" s="53">
        <f>'P&amp;L 2026 TCO'!F19+'P&amp;L KPO'!F19+'P&amp;L 2026 concrete'!F19</f>
        <v/>
      </c>
      <c r="G23" s="53">
        <f>'P&amp;L 2026 TCO'!G19+'P&amp;L KPO'!G19+'P&amp;L 2026 concrete'!G19</f>
        <v/>
      </c>
      <c r="H23" s="53">
        <f>'P&amp;L 2026 TCO'!H19+'P&amp;L KPO'!H19+'P&amp;L 2026 concrete'!H19</f>
        <v/>
      </c>
      <c r="I23" s="53">
        <f>'P&amp;L 2026 TCO'!I19+'P&amp;L KPO'!I19+'P&amp;L 2026 concrete'!I19</f>
        <v/>
      </c>
      <c r="J23" s="53">
        <f>'P&amp;L 2026 TCO'!J19+'P&amp;L KPO'!J19+'P&amp;L 2026 concrete'!J19</f>
        <v/>
      </c>
      <c r="K23" s="53">
        <f>'P&amp;L 2026 TCO'!K19+'P&amp;L KPO'!K19+'P&amp;L 2026 concrete'!K19</f>
        <v/>
      </c>
      <c r="L23" s="53">
        <f>'P&amp;L 2026 TCO'!L19+'P&amp;L KPO'!L19+'P&amp;L 2026 concrete'!L19</f>
        <v/>
      </c>
      <c r="M23" s="53">
        <f>'P&amp;L 2026 TCO'!M19+'P&amp;L KPO'!M19+'P&amp;L 2026 concrete'!M19</f>
        <v/>
      </c>
      <c r="N23" s="53">
        <f>'P&amp;L 2026 TCO'!N19+'P&amp;L KPO'!N19+'P&amp;L 2026 concrete'!N19</f>
        <v/>
      </c>
      <c r="O23" s="55">
        <f>SUM(C23:N23)</f>
        <v/>
      </c>
    </row>
    <row r="24" customFormat="1" s="23">
      <c r="B24" s="53" t="inlineStr">
        <is>
          <t>Расходы по доставке</t>
        </is>
      </c>
      <c r="C24" s="53">
        <f>'P&amp;L 2026 TCO'!C20+'P&amp;L KPO'!C20</f>
        <v/>
      </c>
      <c r="D24" s="53">
        <f>'P&amp;L 2026 TCO'!D20+'P&amp;L KPO'!D20</f>
        <v/>
      </c>
      <c r="E24" s="53">
        <f>'P&amp;L 2026 TCO'!E20+'P&amp;L KPO'!E20</f>
        <v/>
      </c>
      <c r="F24" s="53">
        <f>'P&amp;L 2026 TCO'!F20+'P&amp;L KPO'!F20</f>
        <v/>
      </c>
      <c r="G24" s="53">
        <f>'P&amp;L 2026 TCO'!G20+'P&amp;L KPO'!G20</f>
        <v/>
      </c>
      <c r="H24" s="53">
        <f>'P&amp;L 2026 TCO'!H20+'P&amp;L KPO'!H20</f>
        <v/>
      </c>
      <c r="I24" s="53">
        <f>'P&amp;L 2026 TCO'!I20+'P&amp;L KPO'!I20</f>
        <v/>
      </c>
      <c r="J24" s="53">
        <f>'P&amp;L 2026 TCO'!J20+'P&amp;L KPO'!J20</f>
        <v/>
      </c>
      <c r="K24" s="53">
        <f>'P&amp;L 2026 TCO'!K20+'P&amp;L KPO'!K20</f>
        <v/>
      </c>
      <c r="L24" s="53">
        <f>'P&amp;L 2026 TCO'!L20+'P&amp;L KPO'!L20</f>
        <v/>
      </c>
      <c r="M24" s="53">
        <f>'P&amp;L 2026 TCO'!M20+'P&amp;L KPO'!M20</f>
        <v/>
      </c>
      <c r="N24" s="53">
        <f>'P&amp;L 2026 TCO'!N20+'P&amp;L KPO'!N20</f>
        <v/>
      </c>
      <c r="O24" s="55">
        <f>SUM(C24:N24)</f>
        <v/>
      </c>
    </row>
    <row r="25" customFormat="1" s="23">
      <c r="B25" s="53" t="inlineStr">
        <is>
          <t>Расходы по обучению</t>
        </is>
      </c>
      <c r="C25" s="53">
        <f>'P&amp;L 2026 TCO'!C21+'P&amp;L KPO'!C21</f>
        <v/>
      </c>
      <c r="D25" s="53">
        <f>'P&amp;L 2026 TCO'!D21+'P&amp;L KPO'!D21</f>
        <v/>
      </c>
      <c r="E25" s="53">
        <f>'P&amp;L 2026 TCO'!E21+'P&amp;L KPO'!E21</f>
        <v/>
      </c>
      <c r="F25" s="53">
        <f>'P&amp;L 2026 TCO'!F21+'P&amp;L KPO'!F21</f>
        <v/>
      </c>
      <c r="G25" s="53">
        <f>'P&amp;L 2026 TCO'!G21+'P&amp;L KPO'!G21</f>
        <v/>
      </c>
      <c r="H25" s="53">
        <f>'P&amp;L 2026 TCO'!H21+'P&amp;L KPO'!H21</f>
        <v/>
      </c>
      <c r="I25" s="53">
        <f>'P&amp;L 2026 TCO'!I21+'P&amp;L KPO'!I21</f>
        <v/>
      </c>
      <c r="J25" s="53">
        <f>'P&amp;L 2026 TCO'!J21+'P&amp;L KPO'!J21</f>
        <v/>
      </c>
      <c r="K25" s="53">
        <f>'P&amp;L 2026 TCO'!K21+'P&amp;L KPO'!K21</f>
        <v/>
      </c>
      <c r="L25" s="53">
        <f>'P&amp;L 2026 TCO'!L21+'P&amp;L KPO'!L21</f>
        <v/>
      </c>
      <c r="M25" s="53">
        <f>'P&amp;L 2026 TCO'!M21+'P&amp;L KPO'!M21</f>
        <v/>
      </c>
      <c r="N25" s="53">
        <f>'P&amp;L 2026 TCO'!N21+'P&amp;L KPO'!N21</f>
        <v/>
      </c>
      <c r="O25" s="55">
        <f>SUM(C25:N25)</f>
        <v/>
      </c>
    </row>
    <row r="26" customFormat="1" s="23">
      <c r="B26" s="52" t="inlineStr">
        <is>
          <t xml:space="preserve">Расходы по перевозке </t>
        </is>
      </c>
      <c r="C26" s="53">
        <f>'P&amp;L 2026 TCO'!C22+'P&amp;L KPO'!C22+'P&amp;L 2026 concrete'!C20</f>
        <v/>
      </c>
      <c r="D26" s="53">
        <f>'P&amp;L 2026 TCO'!D22+'P&amp;L KPO'!D22+'P&amp;L 2026 concrete'!D20</f>
        <v/>
      </c>
      <c r="E26" s="53">
        <f>'P&amp;L 2026 TCO'!E22+'P&amp;L KPO'!E22+'P&amp;L 2026 concrete'!E20</f>
        <v/>
      </c>
      <c r="F26" s="53">
        <f>'P&amp;L 2026 TCO'!F22+'P&amp;L KPO'!F22+'P&amp;L 2026 concrete'!F20</f>
        <v/>
      </c>
      <c r="G26" s="53">
        <f>'P&amp;L 2026 TCO'!G22+'P&amp;L KPO'!G22+'P&amp;L 2026 concrete'!G20</f>
        <v/>
      </c>
      <c r="H26" s="53">
        <f>'P&amp;L 2026 TCO'!H22+'P&amp;L KPO'!H22+'P&amp;L 2026 concrete'!H20</f>
        <v/>
      </c>
      <c r="I26" s="53">
        <f>'P&amp;L 2026 TCO'!I22+'P&amp;L KPO'!I22+'P&amp;L 2026 concrete'!I20</f>
        <v/>
      </c>
      <c r="J26" s="53">
        <f>'P&amp;L 2026 TCO'!J22+'P&amp;L KPO'!J22+'P&amp;L 2026 concrete'!J20</f>
        <v/>
      </c>
      <c r="K26" s="53">
        <f>'P&amp;L 2026 TCO'!K22+'P&amp;L KPO'!K22+'P&amp;L 2026 concrete'!K20</f>
        <v/>
      </c>
      <c r="L26" s="53">
        <f>'P&amp;L 2026 TCO'!L22+'P&amp;L KPO'!L22+'P&amp;L 2026 concrete'!L20</f>
        <v/>
      </c>
      <c r="M26" s="53">
        <f>'P&amp;L 2026 TCO'!M22+'P&amp;L KPO'!M22+'P&amp;L 2026 concrete'!M20</f>
        <v/>
      </c>
      <c r="N26" s="53">
        <f>'P&amp;L 2026 TCO'!N22+'P&amp;L KPO'!N22+'P&amp;L 2026 concrete'!N20</f>
        <v/>
      </c>
      <c r="O26" s="55">
        <f>SUM(C26:N26)</f>
        <v/>
      </c>
    </row>
    <row r="27" customFormat="1" s="23">
      <c r="B27" s="53" t="inlineStr">
        <is>
          <t>Расходы по СИЗ</t>
        </is>
      </c>
      <c r="C27" s="53">
        <f>'P&amp;L 2026 TCO'!C23+'P&amp;L KPO'!C23+'P&amp;L 2026 concrete'!C21</f>
        <v/>
      </c>
      <c r="D27" s="53">
        <f>'P&amp;L 2026 TCO'!D23+'P&amp;L KPO'!D23+'P&amp;L 2026 concrete'!D21</f>
        <v/>
      </c>
      <c r="E27" s="53">
        <f>'P&amp;L 2026 TCO'!E23+'P&amp;L KPO'!E23+'P&amp;L 2026 concrete'!E21</f>
        <v/>
      </c>
      <c r="F27" s="53">
        <f>'P&amp;L 2026 TCO'!F23+'P&amp;L KPO'!F23+'P&amp;L 2026 concrete'!F21</f>
        <v/>
      </c>
      <c r="G27" s="53">
        <f>'P&amp;L 2026 TCO'!G23+'P&amp;L KPO'!G23+'P&amp;L 2026 concrete'!G21</f>
        <v/>
      </c>
      <c r="H27" s="53">
        <f>'P&amp;L 2026 TCO'!H23+'P&amp;L KPO'!H23+'P&amp;L 2026 concrete'!H21</f>
        <v/>
      </c>
      <c r="I27" s="53">
        <f>'P&amp;L 2026 TCO'!I23+'P&amp;L KPO'!I23+'P&amp;L 2026 concrete'!I21</f>
        <v/>
      </c>
      <c r="J27" s="53">
        <f>'P&amp;L 2026 TCO'!J23+'P&amp;L KPO'!J23+'P&amp;L 2026 concrete'!J21</f>
        <v/>
      </c>
      <c r="K27" s="53">
        <f>'P&amp;L 2026 TCO'!K23+'P&amp;L KPO'!K23+'P&amp;L 2026 concrete'!K21</f>
        <v/>
      </c>
      <c r="L27" s="53">
        <f>'P&amp;L 2026 TCO'!L23+'P&amp;L KPO'!L23+'P&amp;L 2026 concrete'!L21</f>
        <v/>
      </c>
      <c r="M27" s="53">
        <f>'P&amp;L 2026 TCO'!M23+'P&amp;L KPO'!M23+'P&amp;L 2026 concrete'!M21</f>
        <v/>
      </c>
      <c r="N27" s="53">
        <f>'P&amp;L 2026 TCO'!N23+'P&amp;L KPO'!N23+'P&amp;L 2026 concrete'!N21</f>
        <v/>
      </c>
      <c r="O27" s="55">
        <f>SUM(C27:N27)</f>
        <v/>
      </c>
    </row>
    <row r="28" customFormat="1" s="23">
      <c r="B28" s="33" t="inlineStr">
        <is>
          <t>Расходы на утилизацию+ экологию</t>
        </is>
      </c>
      <c r="C28" s="33">
        <f>'P&amp;L 2026 TCO'!C24+'P&amp;L KPO'!C24+'P&amp;L 2026 concrete'!C22</f>
        <v/>
      </c>
      <c r="D28" s="33">
        <f>'P&amp;L 2026 TCO'!D24+'P&amp;L KPO'!D24+'P&amp;L 2026 concrete'!D22</f>
        <v/>
      </c>
      <c r="E28" s="33">
        <f>'P&amp;L 2026 TCO'!E24+'P&amp;L KPO'!E24+'P&amp;L 2026 concrete'!E22</f>
        <v/>
      </c>
      <c r="F28" s="33">
        <f>'P&amp;L 2026 TCO'!F24+'P&amp;L KPO'!F24+'P&amp;L 2026 concrete'!F22</f>
        <v/>
      </c>
      <c r="G28" s="33">
        <f>'P&amp;L 2026 TCO'!G24+'P&amp;L KPO'!G24+'P&amp;L 2026 concrete'!G22</f>
        <v/>
      </c>
      <c r="H28" s="33">
        <f>'P&amp;L 2026 TCO'!H24+'P&amp;L KPO'!H24+'P&amp;L 2026 concrete'!H22</f>
        <v/>
      </c>
      <c r="I28" s="33">
        <f>'P&amp;L 2026 TCO'!I24+'P&amp;L KPO'!I24+'P&amp;L 2026 concrete'!I22</f>
        <v/>
      </c>
      <c r="J28" s="33">
        <f>'P&amp;L 2026 TCO'!J24+'P&amp;L KPO'!J24+'P&amp;L 2026 concrete'!J22</f>
        <v/>
      </c>
      <c r="K28" s="33">
        <f>'P&amp;L 2026 TCO'!K24+'P&amp;L KPO'!K24+'P&amp;L 2026 concrete'!K22</f>
        <v/>
      </c>
      <c r="L28" s="33">
        <f>'P&amp;L 2026 TCO'!L24+'P&amp;L KPO'!L24+'P&amp;L 2026 concrete'!L22</f>
        <v/>
      </c>
      <c r="M28" s="33">
        <f>'P&amp;L 2026 TCO'!M24+'P&amp;L KPO'!M24+'P&amp;L 2026 concrete'!M22</f>
        <v/>
      </c>
      <c r="N28" s="33">
        <f>'P&amp;L 2026 TCO'!N24+'P&amp;L KPO'!N24+'P&amp;L 2026 concrete'!N22</f>
        <v/>
      </c>
      <c r="O28" s="51">
        <f>SUM(C28:N28)</f>
        <v/>
      </c>
    </row>
    <row r="29" customFormat="1" s="23">
      <c r="B29" s="33" t="inlineStr">
        <is>
          <t>Расходы на ремонт авто/ оборудования</t>
        </is>
      </c>
      <c r="C29" s="33">
        <f>'P&amp;L 2026 TCO'!C25+'P&amp;L KPO'!C25+'P&amp;L 2026 concrete'!C23</f>
        <v/>
      </c>
      <c r="D29" s="33">
        <f>'P&amp;L 2026 TCO'!D25+'P&amp;L KPO'!D25+'P&amp;L 2026 concrete'!D23</f>
        <v/>
      </c>
      <c r="E29" s="33">
        <f>'P&amp;L 2026 TCO'!E25+'P&amp;L KPO'!E25+'P&amp;L 2026 concrete'!E23</f>
        <v/>
      </c>
      <c r="F29" s="33">
        <f>'P&amp;L 2026 TCO'!F25+'P&amp;L KPO'!F25+'P&amp;L 2026 concrete'!F23</f>
        <v/>
      </c>
      <c r="G29" s="33">
        <f>'P&amp;L 2026 TCO'!G25+'P&amp;L KPO'!G25+'P&amp;L 2026 concrete'!G23</f>
        <v/>
      </c>
      <c r="H29" s="33">
        <f>'P&amp;L 2026 TCO'!H25+'P&amp;L KPO'!H25+'P&amp;L 2026 concrete'!H23</f>
        <v/>
      </c>
      <c r="I29" s="33">
        <f>'P&amp;L 2026 TCO'!I25+'P&amp;L KPO'!I25+'P&amp;L 2026 concrete'!I23</f>
        <v/>
      </c>
      <c r="J29" s="33">
        <f>'P&amp;L 2026 TCO'!J25+'P&amp;L KPO'!J25+'P&amp;L 2026 concrete'!J23</f>
        <v/>
      </c>
      <c r="K29" s="33">
        <f>'P&amp;L 2026 TCO'!K25+'P&amp;L KPO'!K25+'P&amp;L 2026 concrete'!K23</f>
        <v/>
      </c>
      <c r="L29" s="33">
        <f>'P&amp;L 2026 TCO'!L25+'P&amp;L KPO'!L25+'P&amp;L 2026 concrete'!L23</f>
        <v/>
      </c>
      <c r="M29" s="33">
        <f>'P&amp;L 2026 TCO'!M25+'P&amp;L KPO'!M25+'P&amp;L 2026 concrete'!M23</f>
        <v/>
      </c>
      <c r="N29" s="33">
        <f>'P&amp;L 2026 TCO'!N25+'P&amp;L KPO'!N25+'P&amp;L 2026 concrete'!N23</f>
        <v/>
      </c>
      <c r="O29" s="51">
        <f>SUM(C29:N29)</f>
        <v/>
      </c>
    </row>
    <row r="30" ht="28.8" customHeight="1">
      <c r="B30" s="36" t="inlineStr">
        <is>
          <t>Себестоимость реализованной продукции и оказанных услуг/ подрядчики</t>
        </is>
      </c>
      <c r="C30" s="39">
        <f>'P&amp;L 2026 TCO'!C26+'P&amp;L KPO'!C26+'P&amp;L 2026 concrete'!C24</f>
        <v/>
      </c>
      <c r="D30" s="39">
        <f>'P&amp;L 2026 TCO'!D26+'P&amp;L KPO'!D26+'P&amp;L 2026 concrete'!D24</f>
        <v/>
      </c>
      <c r="E30" s="39">
        <f>'P&amp;L 2026 TCO'!E26+'P&amp;L KPO'!E26+'P&amp;L 2026 concrete'!E24</f>
        <v/>
      </c>
      <c r="F30" s="39">
        <f>'P&amp;L 2026 TCO'!F26+'P&amp;L KPO'!F26+'P&amp;L 2026 concrete'!F24</f>
        <v/>
      </c>
      <c r="G30" s="39">
        <f>'P&amp;L 2026 TCO'!G26+'P&amp;L KPO'!G26+'P&amp;L 2026 concrete'!G24</f>
        <v/>
      </c>
      <c r="H30" s="39">
        <f>'P&amp;L 2026 TCO'!H26+'P&amp;L KPO'!H26+'P&amp;L 2026 concrete'!H24</f>
        <v/>
      </c>
      <c r="I30" s="39">
        <f>'P&amp;L 2026 TCO'!I26+'P&amp;L KPO'!I26+'P&amp;L 2026 concrete'!I24</f>
        <v/>
      </c>
      <c r="J30" s="39">
        <f>'P&amp;L 2026 TCO'!J26+'P&amp;L KPO'!J26+'P&amp;L 2026 concrete'!J24</f>
        <v/>
      </c>
      <c r="K30" s="39">
        <f>'P&amp;L 2026 TCO'!K26+'P&amp;L KPO'!K26+'P&amp;L 2026 concrete'!K24</f>
        <v/>
      </c>
      <c r="L30" s="39">
        <f>'P&amp;L 2026 TCO'!L26+'P&amp;L KPO'!L26+'P&amp;L 2026 concrete'!L24</f>
        <v/>
      </c>
      <c r="M30" s="39">
        <f>'P&amp;L 2026 TCO'!M26+'P&amp;L KPO'!M26+'P&amp;L 2026 concrete'!M24</f>
        <v/>
      </c>
      <c r="N30" s="39">
        <f>'P&amp;L 2026 TCO'!N26+'P&amp;L KPO'!N26+'P&amp;L 2026 concrete'!N24</f>
        <v/>
      </c>
      <c r="O30" s="51">
        <f>SUM(C30:N30)</f>
        <v/>
      </c>
    </row>
    <row r="31" ht="28.8" customFormat="1" customHeight="1" s="23">
      <c r="B31" s="36" t="inlineStr">
        <is>
          <t>Содержание на сайте офиса, контейнера, базы, ком.усл</t>
        </is>
      </c>
      <c r="C31" s="33">
        <f>'P&amp;L 2026 TCO'!C27+'P&amp;L KPO'!C27</f>
        <v/>
      </c>
      <c r="D31" s="33">
        <f>'P&amp;L 2026 TCO'!D27+'P&amp;L KPO'!D27</f>
        <v/>
      </c>
      <c r="E31" s="33">
        <f>'P&amp;L 2026 TCO'!E27+'P&amp;L KPO'!E27</f>
        <v/>
      </c>
      <c r="F31" s="33">
        <f>'P&amp;L 2026 TCO'!F27+'P&amp;L KPO'!F27</f>
        <v/>
      </c>
      <c r="G31" s="33">
        <f>'P&amp;L 2026 TCO'!G27+'P&amp;L KPO'!G27</f>
        <v/>
      </c>
      <c r="H31" s="33">
        <f>'P&amp;L 2026 TCO'!H27+'P&amp;L KPO'!H27</f>
        <v/>
      </c>
      <c r="I31" s="33">
        <f>'P&amp;L 2026 TCO'!I27+'P&amp;L KPO'!I27</f>
        <v/>
      </c>
      <c r="J31" s="33">
        <f>'P&amp;L 2026 TCO'!J27+'P&amp;L KPO'!J27</f>
        <v/>
      </c>
      <c r="K31" s="33">
        <f>'P&amp;L 2026 TCO'!K27+'P&amp;L KPO'!K27</f>
        <v/>
      </c>
      <c r="L31" s="33">
        <f>'P&amp;L 2026 TCO'!L27+'P&amp;L KPO'!L27</f>
        <v/>
      </c>
      <c r="M31" s="33">
        <f>'P&amp;L 2026 TCO'!M27+'P&amp;L KPO'!M27</f>
        <v/>
      </c>
      <c r="N31" s="33">
        <f>'P&amp;L 2026 TCO'!N27+'P&amp;L KPO'!N27</f>
        <v/>
      </c>
      <c r="O31" s="51">
        <f>SUM(C31:N31)</f>
        <v/>
      </c>
    </row>
    <row r="32" customFormat="1" s="23">
      <c r="B32" s="33" t="inlineStr">
        <is>
          <t>Списанные материалы</t>
        </is>
      </c>
      <c r="C32" s="33">
        <f>'P&amp;L 2026 TCO'!C28+'P&amp;L KPO'!C28+'P&amp;L 2026 concrete'!C25</f>
        <v/>
      </c>
      <c r="D32" s="33">
        <f>'P&amp;L 2026 TCO'!D28+'P&amp;L KPO'!D28+'P&amp;L 2026 concrete'!D25</f>
        <v/>
      </c>
      <c r="E32" s="33">
        <f>'P&amp;L 2026 TCO'!E28+'P&amp;L KPO'!E28+'P&amp;L 2026 concrete'!E25</f>
        <v/>
      </c>
      <c r="F32" s="33">
        <f>'P&amp;L 2026 TCO'!F28+'P&amp;L KPO'!F28+'P&amp;L 2026 concrete'!F25</f>
        <v/>
      </c>
      <c r="G32" s="33">
        <f>'P&amp;L 2026 TCO'!G28+'P&amp;L KPO'!G28+'P&amp;L 2026 concrete'!G25</f>
        <v/>
      </c>
      <c r="H32" s="33">
        <f>'P&amp;L 2026 TCO'!H28+'P&amp;L KPO'!H28+'P&amp;L 2026 concrete'!H25</f>
        <v/>
      </c>
      <c r="I32" s="33">
        <f>'P&amp;L 2026 TCO'!I28+'P&amp;L KPO'!I28+'P&amp;L 2026 concrete'!I25</f>
        <v/>
      </c>
      <c r="J32" s="33">
        <f>'P&amp;L 2026 TCO'!J28+'P&amp;L KPO'!J28+'P&amp;L 2026 concrete'!J25</f>
        <v/>
      </c>
      <c r="K32" s="33">
        <f>'P&amp;L 2026 TCO'!K28+'P&amp;L KPO'!K28+'P&amp;L 2026 concrete'!K25</f>
        <v/>
      </c>
      <c r="L32" s="33">
        <f>'P&amp;L 2026 TCO'!L28+'P&amp;L KPO'!L28+'P&amp;L 2026 concrete'!L25</f>
        <v/>
      </c>
      <c r="M32" s="33">
        <f>'P&amp;L 2026 TCO'!M28+'P&amp;L KPO'!M28+'P&amp;L 2026 concrete'!M25</f>
        <v/>
      </c>
      <c r="N32" s="33">
        <f>'P&amp;L 2026 TCO'!N28+'P&amp;L KPO'!N28+'P&amp;L 2026 concrete'!N25</f>
        <v/>
      </c>
      <c r="O32" s="51">
        <f>SUM(C32:N32)</f>
        <v/>
      </c>
    </row>
    <row r="33" customFormat="1" s="23">
      <c r="B33" s="53" t="inlineStr">
        <is>
          <t>Страхование</t>
        </is>
      </c>
      <c r="C33" s="53">
        <f>'P&amp;L 2026 TCO'!C29+'P&amp;L KPO'!C29+'P&amp;L 2026 concrete'!C26</f>
        <v/>
      </c>
      <c r="D33" s="53">
        <f>'P&amp;L 2026 TCO'!D29+'P&amp;L KPO'!D29+'P&amp;L 2026 concrete'!D26</f>
        <v/>
      </c>
      <c r="E33" s="53">
        <f>'P&amp;L 2026 TCO'!E29+'P&amp;L KPO'!E29+'P&amp;L 2026 concrete'!E26</f>
        <v/>
      </c>
      <c r="F33" s="53">
        <f>'P&amp;L 2026 TCO'!F29+'P&amp;L KPO'!F29+'P&amp;L 2026 concrete'!F26</f>
        <v/>
      </c>
      <c r="G33" s="53">
        <f>'P&amp;L 2026 TCO'!G29+'P&amp;L KPO'!G29+'P&amp;L 2026 concrete'!G26</f>
        <v/>
      </c>
      <c r="H33" s="53">
        <f>'P&amp;L 2026 TCO'!H29+'P&amp;L KPO'!H29+'P&amp;L 2026 concrete'!H26</f>
        <v/>
      </c>
      <c r="I33" s="53">
        <f>'P&amp;L 2026 TCO'!I29+'P&amp;L KPO'!I29+'P&amp;L 2026 concrete'!I26</f>
        <v/>
      </c>
      <c r="J33" s="53">
        <f>'P&amp;L 2026 TCO'!J29+'P&amp;L KPO'!J29+'P&amp;L 2026 concrete'!J26</f>
        <v/>
      </c>
      <c r="K33" s="53">
        <f>'P&amp;L 2026 TCO'!K29+'P&amp;L KPO'!K29+'P&amp;L 2026 concrete'!K26</f>
        <v/>
      </c>
      <c r="L33" s="53">
        <f>'P&amp;L 2026 TCO'!L29+'P&amp;L KPO'!L29+'P&amp;L 2026 concrete'!L26</f>
        <v/>
      </c>
      <c r="M33" s="53">
        <f>'P&amp;L 2026 TCO'!M29+'P&amp;L KPO'!M29+'P&amp;L 2026 concrete'!M26</f>
        <v/>
      </c>
      <c r="N33" s="53">
        <f>'P&amp;L 2026 TCO'!N29+'P&amp;L KPO'!N29+'P&amp;L 2026 concrete'!N26</f>
        <v/>
      </c>
      <c r="O33" s="51">
        <f>SUM(C33:N33)</f>
        <v/>
      </c>
    </row>
    <row r="34">
      <c r="B34" s="56" t="inlineStr">
        <is>
          <t>Расходы на финансирование</t>
        </is>
      </c>
      <c r="C34" s="57">
        <f>'P&amp;L 2026 TCO'!C30+'P&amp;L KPO'!C30+'P&amp;L 2026 concrete'!C27</f>
        <v/>
      </c>
      <c r="D34" s="57">
        <f>'P&amp;L 2026 TCO'!D30+'P&amp;L KPO'!D30+'P&amp;L 2026 concrete'!D27</f>
        <v/>
      </c>
      <c r="E34" s="57">
        <f>'P&amp;L 2026 TCO'!E30+'P&amp;L KPO'!E30+'P&amp;L 2026 concrete'!E27</f>
        <v/>
      </c>
      <c r="F34" s="57">
        <f>'P&amp;L 2026 TCO'!F30+'P&amp;L KPO'!F30+'P&amp;L 2026 concrete'!F27</f>
        <v/>
      </c>
      <c r="G34" s="57">
        <f>'P&amp;L 2026 TCO'!G30+'P&amp;L KPO'!G30+'P&amp;L 2026 concrete'!G27</f>
        <v/>
      </c>
      <c r="H34" s="57">
        <f>'P&amp;L 2026 TCO'!H30+'P&amp;L KPO'!H30+'P&amp;L 2026 concrete'!H27</f>
        <v/>
      </c>
      <c r="I34" s="57">
        <f>'P&amp;L 2026 TCO'!I30+'P&amp;L KPO'!I30+'P&amp;L 2026 concrete'!I27</f>
        <v/>
      </c>
      <c r="J34" s="57">
        <f>'P&amp;L 2026 TCO'!J30+'P&amp;L KPO'!J30+'P&amp;L 2026 concrete'!J27</f>
        <v/>
      </c>
      <c r="K34" s="57">
        <f>'P&amp;L 2026 TCO'!K30+'P&amp;L KPO'!K30+'P&amp;L 2026 concrete'!K27</f>
        <v/>
      </c>
      <c r="L34" s="57">
        <f>'P&amp;L 2026 TCO'!L30+'P&amp;L KPO'!L30+'P&amp;L 2026 concrete'!L27</f>
        <v/>
      </c>
      <c r="M34" s="57">
        <f>'P&amp;L 2026 TCO'!M30+'P&amp;L KPO'!M30+'P&amp;L 2026 concrete'!M27</f>
        <v/>
      </c>
      <c r="N34" s="57">
        <f>'P&amp;L 2026 TCO'!N30+'P&amp;L KPO'!N30+'P&amp;L 2026 concrete'!N27</f>
        <v/>
      </c>
    </row>
    <row r="35" ht="16.2" customHeight="1">
      <c r="B35" s="13" t="inlineStr">
        <is>
          <t>Итого</t>
        </is>
      </c>
      <c r="C35" s="13">
        <f>SUM(C9:C34)</f>
        <v/>
      </c>
      <c r="D35" s="13">
        <f>SUM(D9:D34)</f>
        <v/>
      </c>
      <c r="E35" s="13">
        <f>SUM(E9:E34)</f>
        <v/>
      </c>
      <c r="F35" s="13">
        <f>SUM(F9:F34)</f>
        <v/>
      </c>
      <c r="G35" s="13">
        <f>SUM(G9:G34)</f>
        <v/>
      </c>
      <c r="H35" s="13">
        <f>SUM(H9:H34)</f>
        <v/>
      </c>
      <c r="I35" s="13">
        <f>SUM(I9:I34)</f>
        <v/>
      </c>
      <c r="J35" s="13">
        <f>SUM(J9:J34)</f>
        <v/>
      </c>
      <c r="K35" s="13">
        <f>SUM(K9:K34)</f>
        <v/>
      </c>
      <c r="L35" s="13">
        <f>SUM(L9:L34)</f>
        <v/>
      </c>
      <c r="M35" s="13">
        <f>SUM(M9:M34)</f>
        <v/>
      </c>
      <c r="N35" s="13">
        <f>SUM(N9:N34)</f>
        <v/>
      </c>
      <c r="O35" s="13">
        <f>SUM(O9:O33)</f>
        <v/>
      </c>
    </row>
    <row r="36">
      <c r="B36" s="54" t="inlineStr">
        <is>
          <t>Административные расходы</t>
        </is>
      </c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1" t="n"/>
    </row>
    <row r="37">
      <c r="B37" s="33" t="inlineStr">
        <is>
          <t>Расходы по заработной плате</t>
        </is>
      </c>
      <c r="C37" s="33" t="n"/>
      <c r="D37" s="39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51">
        <f>SUM(C36:N36)</f>
        <v/>
      </c>
    </row>
    <row r="38" customFormat="1" s="23">
      <c r="B38" s="33" t="inlineStr">
        <is>
          <t>Налоги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51">
        <f>SUM(C37:N37)</f>
        <v/>
      </c>
    </row>
    <row r="39">
      <c r="B39" s="33" t="inlineStr">
        <is>
          <t>ГСМ</t>
        </is>
      </c>
      <c r="C39" s="39" t="n"/>
      <c r="D39" s="39" t="n"/>
      <c r="E39" s="39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51">
        <f>SUM(C38:N38)</f>
        <v/>
      </c>
    </row>
    <row r="40">
      <c r="B40" s="33" t="inlineStr">
        <is>
          <t>Банковская комиссия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51">
        <f>SUM(C39:N39)</f>
        <v/>
      </c>
    </row>
    <row r="41">
      <c r="B41" s="33" t="inlineStr">
        <is>
          <t>Амортизация ФА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51">
        <f>SUM(C40:N40)</f>
        <v/>
      </c>
    </row>
    <row r="42">
      <c r="B42" s="33" t="inlineStr">
        <is>
          <t>Подписка</t>
        </is>
      </c>
      <c r="C42" s="33" t="n"/>
      <c r="D42" s="33" t="n"/>
      <c r="E42" s="33" t="n"/>
      <c r="F42" s="33" t="n"/>
      <c r="G42" s="33" t="n"/>
      <c r="H42" s="33" t="n"/>
      <c r="I42" s="23" t="n"/>
      <c r="J42" s="23" t="n"/>
      <c r="K42" s="23" t="n"/>
      <c r="L42" s="23" t="n"/>
      <c r="M42" s="23" t="n"/>
      <c r="N42" s="23" t="n"/>
      <c r="O42" s="51">
        <f>SUM(C41:N41)</f>
        <v/>
      </c>
    </row>
    <row r="43">
      <c r="B43" s="33" t="inlineStr">
        <is>
          <t>Аудиторские/ консультационные услуги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51">
        <f>SUM(C42:N42)</f>
        <v/>
      </c>
    </row>
    <row r="44">
      <c r="B44" s="33" t="inlineStr">
        <is>
          <t>Услуги связи+интернет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51">
        <f>SUM(C43:N43)</f>
        <v/>
      </c>
    </row>
    <row r="45">
      <c r="B45" s="33" t="inlineStr">
        <is>
          <t>Мед осмотр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51">
        <f>SUM(C44:N44)</f>
        <v/>
      </c>
    </row>
    <row r="46" ht="28.8" customHeight="1">
      <c r="B46" s="33" t="inlineStr">
        <is>
          <t>Расходы по страховке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51">
        <f>SUM(C45:N45)</f>
        <v/>
      </c>
    </row>
    <row r="47">
      <c r="B47" s="36" t="inlineStr">
        <is>
          <t>Командировочные расходы(проезд+проживание+суточные)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51">
        <f>SUM(C46:N46)</f>
        <v/>
      </c>
    </row>
    <row r="48">
      <c r="B48" s="33" t="inlineStr">
        <is>
          <t>Содержание офиса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51">
        <f>SUM(C47:N47)</f>
        <v/>
      </c>
    </row>
    <row r="49">
      <c r="B49" s="33" t="inlineStr">
        <is>
          <t>Обучение сотрудников</t>
        </is>
      </c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51">
        <f>SUM(C48:N48)</f>
        <v/>
      </c>
    </row>
    <row r="50" customFormat="1" s="23">
      <c r="B50" s="33" t="inlineStr">
        <is>
          <t>Прочие расходы</t>
        </is>
      </c>
      <c r="C50" s="33">
        <f>'P&amp;L 2026 TCO'!C33+'P&amp;L KPO'!C33+'P&amp;L 2026 concrete'!C49</f>
        <v/>
      </c>
      <c r="D50" s="33">
        <f>'P&amp;L 2026 TCO'!D33+'P&amp;L KPO'!D33+'P&amp;L 2026 concrete'!D49</f>
        <v/>
      </c>
      <c r="E50" s="33">
        <f>'P&amp;L 2026 TCO'!E33+'P&amp;L KPO'!E33+'P&amp;L 2026 concrete'!E49</f>
        <v/>
      </c>
      <c r="F50" s="33">
        <f>'P&amp;L 2026 TCO'!F33+'P&amp;L KPO'!F33+'P&amp;L 2026 concrete'!F49</f>
        <v/>
      </c>
      <c r="G50" s="33">
        <f>'P&amp;L 2026 TCO'!G33+'P&amp;L KPO'!G33+'P&amp;L 2026 concrete'!G49</f>
        <v/>
      </c>
      <c r="H50" s="33">
        <f>'P&amp;L 2026 TCO'!H33+'P&amp;L KPO'!H33+'P&amp;L 2026 concrete'!H49</f>
        <v/>
      </c>
      <c r="I50" s="33">
        <f>'P&amp;L 2026 TCO'!I33+'P&amp;L KPO'!I33+'P&amp;L 2026 concrete'!I49</f>
        <v/>
      </c>
      <c r="J50" s="33">
        <f>'P&amp;L 2026 TCO'!J33+'P&amp;L KPO'!J33+'P&amp;L 2026 concrete'!J49</f>
        <v/>
      </c>
      <c r="K50" s="33">
        <f>'P&amp;L 2026 TCO'!K33+'P&amp;L KPO'!K33+'P&amp;L 2026 concrete'!K49</f>
        <v/>
      </c>
      <c r="L50" s="33">
        <f>'P&amp;L 2026 TCO'!L33+'P&amp;L KPO'!L33+'P&amp;L 2026 concrete'!L49</f>
        <v/>
      </c>
      <c r="M50" s="33">
        <f>'P&amp;L 2026 TCO'!M33+'P&amp;L KPO'!M33+'P&amp;L 2026 concrete'!M49</f>
        <v/>
      </c>
      <c r="N50" s="33">
        <f>'P&amp;L 2026 TCO'!N33+'P&amp;L KPO'!N33+'P&amp;L 2026 concrete'!N49</f>
        <v/>
      </c>
      <c r="O50" s="51">
        <f>SUM(C49:N49)</f>
        <v/>
      </c>
    </row>
    <row r="51" customFormat="1" s="23">
      <c r="B51" s="33" t="inlineStr">
        <is>
          <t>Услуги по доставке</t>
        </is>
      </c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51">
        <f>SUM(C50:N50)</f>
        <v/>
      </c>
    </row>
    <row r="52">
      <c r="B52" s="33" t="inlineStr">
        <is>
          <t>Вознаграждения по лизингу</t>
        </is>
      </c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51">
        <f>SUM(C51:N51)</f>
        <v/>
      </c>
    </row>
    <row r="53" ht="15" customFormat="1" customHeight="1" s="30">
      <c r="B53" s="13" t="inlineStr">
        <is>
          <t>Итого</t>
        </is>
      </c>
      <c r="C53" s="42">
        <f>SUM(C37:C52)</f>
        <v/>
      </c>
      <c r="D53" s="42">
        <f>SUM(D37:D52)</f>
        <v/>
      </c>
      <c r="E53" s="42">
        <f>SUM(E37:E52)</f>
        <v/>
      </c>
      <c r="F53" s="42">
        <f>SUM(F37:F52)</f>
        <v/>
      </c>
      <c r="G53" s="42">
        <f>SUM(G37:G52)</f>
        <v/>
      </c>
      <c r="H53" s="42">
        <f>SUM(H37:H52)</f>
        <v/>
      </c>
      <c r="I53" s="42">
        <f>SUM(I37:I52)</f>
        <v/>
      </c>
      <c r="J53" s="42">
        <f>SUM(J37:J52)</f>
        <v/>
      </c>
      <c r="K53" s="42">
        <f>SUM(K37:K52)</f>
        <v/>
      </c>
      <c r="L53" s="42">
        <f>SUM(L37:L52)</f>
        <v/>
      </c>
      <c r="M53" s="42">
        <f>SUM(M37:M52)</f>
        <v/>
      </c>
      <c r="N53" s="42">
        <f>SUM(N37:N52)</f>
        <v/>
      </c>
      <c r="O53" s="42">
        <f>SUM(O36:O51)</f>
        <v/>
      </c>
    </row>
    <row r="54" ht="15" customFormat="1" customHeight="1" s="30">
      <c r="B54" s="29" t="inlineStr">
        <is>
          <t>Прочие доходы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51">
        <f>SUM(C53:N53)</f>
        <v/>
      </c>
    </row>
    <row r="55" customFormat="1" s="30">
      <c r="B55" s="29" t="inlineStr">
        <is>
          <t>Прочие расходы</t>
        </is>
      </c>
      <c r="C55" s="29">
        <f>'P&amp;L 2026 TCO'!C33+'P&amp;L KPO'!C33+'P&amp;L 2026 concrete'!C48</f>
        <v/>
      </c>
      <c r="D55" s="29">
        <f>'P&amp;L 2026 TCO'!D33+'P&amp;L KPO'!D33+'P&amp;L 2026 concrete'!D48</f>
        <v/>
      </c>
      <c r="E55" s="29">
        <f>'P&amp;L 2026 TCO'!E33+'P&amp;L KPO'!E33+'P&amp;L 2026 concrete'!E48</f>
        <v/>
      </c>
      <c r="F55" s="29">
        <f>'P&amp;L 2026 TCO'!F33+'P&amp;L KPO'!F33+'P&amp;L 2026 concrete'!F48</f>
        <v/>
      </c>
      <c r="G55" s="29">
        <f>'P&amp;L 2026 TCO'!G33+'P&amp;L KPO'!G33+'P&amp;L 2026 concrete'!G48</f>
        <v/>
      </c>
      <c r="H55" s="29">
        <f>'P&amp;L 2026 TCO'!H33+'P&amp;L KPO'!H33+'P&amp;L 2026 concrete'!H48</f>
        <v/>
      </c>
      <c r="I55" s="29">
        <f>'P&amp;L 2026 TCO'!I33+'P&amp;L KPO'!I33+'P&amp;L 2026 concrete'!I48</f>
        <v/>
      </c>
      <c r="J55" s="29">
        <f>'P&amp;L 2026 TCO'!J33+'P&amp;L KPO'!J33+'P&amp;L 2026 concrete'!J48</f>
        <v/>
      </c>
      <c r="K55" s="29">
        <f>'P&amp;L 2026 TCO'!K33+'P&amp;L KPO'!K33+'P&amp;L 2026 concrete'!K48</f>
        <v/>
      </c>
      <c r="L55" s="29">
        <f>'P&amp;L 2026 TCO'!L33+'P&amp;L KPO'!L33+'P&amp;L 2026 concrete'!L48</f>
        <v/>
      </c>
      <c r="M55" s="29">
        <f>'P&amp;L 2026 TCO'!M33+'P&amp;L KPO'!M33+'P&amp;L 2026 concrete'!M48</f>
        <v/>
      </c>
      <c r="N55" s="29">
        <f>'P&amp;L 2026 TCO'!N33+'P&amp;L KPO'!N33+'P&amp;L 2026 concrete'!N48</f>
        <v/>
      </c>
      <c r="O55" s="51">
        <f>SUM(C54:N54)</f>
        <v/>
      </c>
    </row>
    <row r="56" customFormat="1" s="30">
      <c r="B56" s="18" t="inlineStr">
        <is>
          <t>ДОХОД ДО КПН</t>
        </is>
      </c>
      <c r="C56" s="13">
        <f>C7-C35-C53+C54-C55</f>
        <v/>
      </c>
      <c r="D56" s="13">
        <f>D7-D35-D53+D54-D55</f>
        <v/>
      </c>
      <c r="E56" s="13">
        <f>E7-E35-E53+E54-E55</f>
        <v/>
      </c>
      <c r="F56" s="13">
        <f>F7-F35-F53+F54-F55</f>
        <v/>
      </c>
      <c r="G56" s="13">
        <f>G7-G35-G53+G54-G55</f>
        <v/>
      </c>
      <c r="H56" s="13">
        <f>H7-H35-H53+H54-H55</f>
        <v/>
      </c>
      <c r="I56" s="13">
        <f>I7-I35-I53+I54-I55</f>
        <v/>
      </c>
      <c r="J56" s="13">
        <f>J7-J35-J53+J54-J55</f>
        <v/>
      </c>
      <c r="K56" s="13">
        <f>K7-K35-K53+K54-K55</f>
        <v/>
      </c>
      <c r="L56" s="13">
        <f>L7-L35-L53+L54-L55</f>
        <v/>
      </c>
      <c r="M56" s="13">
        <f>M7-M35-M53+M54-M55</f>
        <v/>
      </c>
      <c r="N56" s="13">
        <f>N7-N35-N53+N54-N55</f>
        <v/>
      </c>
      <c r="O56" s="13">
        <f>O7-O34-O52+O53-O54</f>
        <v/>
      </c>
    </row>
    <row r="57" customFormat="1" s="30">
      <c r="B57" s="29" t="inlineStr">
        <is>
          <t>КПН</t>
        </is>
      </c>
      <c r="C57" s="30">
        <f>C56*0.2</f>
        <v/>
      </c>
      <c r="D57" s="30">
        <f>D56*0.2</f>
        <v/>
      </c>
      <c r="E57" s="30">
        <f>E56*0.2</f>
        <v/>
      </c>
      <c r="F57" s="30">
        <f>F56*0.2</f>
        <v/>
      </c>
      <c r="G57" s="30">
        <f>G56*0.2</f>
        <v/>
      </c>
      <c r="H57" s="30">
        <f>H56*0.2</f>
        <v/>
      </c>
      <c r="I57" s="30">
        <f>I56*0.2</f>
        <v/>
      </c>
      <c r="J57" s="30">
        <f>J56*0.2</f>
        <v/>
      </c>
      <c r="K57" s="30">
        <f>K56*0.2</f>
        <v/>
      </c>
      <c r="L57" s="30">
        <f>L56*0.2</f>
        <v/>
      </c>
      <c r="M57" s="30">
        <f>M56*0.2</f>
        <v/>
      </c>
      <c r="N57" s="30">
        <f>N56*0.2</f>
        <v/>
      </c>
      <c r="O57" s="51">
        <f>SUM(C56:N56)</f>
        <v/>
      </c>
    </row>
    <row r="58" customFormat="1" s="11">
      <c r="B58" s="18" t="inlineStr">
        <is>
          <t>ЧИСТЫЙ ДОХОД</t>
        </is>
      </c>
      <c r="C58" s="13">
        <f>C56-C57</f>
        <v/>
      </c>
      <c r="D58" s="13">
        <f>D56-D57</f>
        <v/>
      </c>
      <c r="E58" s="13">
        <f>E56-E57</f>
        <v/>
      </c>
      <c r="F58" s="13">
        <f>F56-F57</f>
        <v/>
      </c>
      <c r="G58" s="13">
        <f>G56-G57</f>
        <v/>
      </c>
      <c r="H58" s="13">
        <f>H56-H57</f>
        <v/>
      </c>
      <c r="I58" s="13">
        <f>I56-I57</f>
        <v/>
      </c>
      <c r="J58" s="13">
        <f>J56-J57</f>
        <v/>
      </c>
      <c r="K58" s="13">
        <f>K56-K57</f>
        <v/>
      </c>
      <c r="L58" s="13">
        <f>L56-L57</f>
        <v/>
      </c>
      <c r="M58" s="13">
        <f>M56-M57</f>
        <v/>
      </c>
      <c r="N58" s="13">
        <f>N56-N57</f>
        <v/>
      </c>
      <c r="O58" s="13">
        <f>O55-O56</f>
        <v/>
      </c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P59" s="23" t="n"/>
    </row>
    <row r="60">
      <c r="B60" s="60" t="inlineStr">
        <is>
          <t>КОНТРОЛЬ СВЕРКИ С ОСВ</t>
        </is>
      </c>
      <c r="C60" s="61" t="n"/>
      <c r="D60" s="61" t="n"/>
      <c r="E60" s="61" t="n"/>
      <c r="F60" s="61" t="n"/>
      <c r="G60" s="61" t="n"/>
      <c r="H60" s="61" t="n"/>
      <c r="I60" s="62" t="n"/>
      <c r="J60" s="62" t="n"/>
      <c r="K60" s="62" t="n"/>
      <c r="L60" s="62" t="n"/>
      <c r="M60" s="62" t="n"/>
      <c r="N60" s="63" t="inlineStr">
        <is>
          <t>Рентабельность до КПН</t>
        </is>
      </c>
      <c r="O60" s="27">
        <f>O55/O7</f>
        <v/>
      </c>
    </row>
    <row r="61">
      <c r="B61" s="64" t="inlineStr">
        <is>
          <t>ОСВ 1С (сч. 5610)</t>
        </is>
      </c>
      <c r="C61" s="65" t="n"/>
      <c r="D61" s="65" t="n"/>
      <c r="E61" s="65" t="n"/>
      <c r="F61" s="65" t="n"/>
      <c r="G61" s="65" t="n"/>
      <c r="H61" s="65" t="n"/>
      <c r="I61" s="66" t="n"/>
      <c r="J61" s="66" t="n"/>
      <c r="K61" s="66" t="n"/>
      <c r="L61" s="66" t="n"/>
      <c r="M61" s="66" t="n"/>
      <c r="N61" s="67" t="n"/>
      <c r="O61" s="27" t="n"/>
    </row>
    <row r="62">
      <c r="B62" s="64" t="inlineStr">
        <is>
          <t>КПН (сч. 7710)</t>
        </is>
      </c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</row>
    <row r="63">
      <c r="B63" s="64" t="inlineStr">
        <is>
          <t>ОСВ результат до КПН</t>
        </is>
      </c>
      <c r="C63" s="65">
        <f>C61+C62</f>
        <v/>
      </c>
      <c r="D63" s="65">
        <f>D61+D62</f>
        <v/>
      </c>
      <c r="E63" s="65">
        <f>E61+E62</f>
        <v/>
      </c>
      <c r="F63" s="65">
        <f>F61+F62</f>
        <v/>
      </c>
      <c r="G63" s="65">
        <f>G61+G62</f>
        <v/>
      </c>
      <c r="H63" s="65">
        <f>H61+H62</f>
        <v/>
      </c>
      <c r="I63" s="65">
        <f>I61+I62</f>
        <v/>
      </c>
      <c r="J63" s="65">
        <f>J61+J62</f>
        <v/>
      </c>
      <c r="K63" s="65">
        <f>K61+K62</f>
        <v/>
      </c>
      <c r="L63" s="65">
        <f>L61+L62</f>
        <v/>
      </c>
      <c r="M63" s="65">
        <f>M61+M62</f>
        <v/>
      </c>
      <c r="N63" s="65">
        <f>N61+N62</f>
        <v/>
      </c>
    </row>
    <row r="64">
      <c r="B64" s="64" t="inlineStr">
        <is>
          <t>P&amp;L доход до КПН</t>
        </is>
      </c>
      <c r="C64" s="65">
        <f>C56</f>
        <v/>
      </c>
      <c r="D64" s="65">
        <f>D56</f>
        <v/>
      </c>
      <c r="E64" s="65">
        <f>E56</f>
        <v/>
      </c>
      <c r="F64" s="65">
        <f>F56</f>
        <v/>
      </c>
      <c r="G64" s="65">
        <f>G56</f>
        <v/>
      </c>
      <c r="H64" s="65">
        <f>H56</f>
        <v/>
      </c>
      <c r="I64" s="65">
        <f>I56</f>
        <v/>
      </c>
      <c r="J64" s="65">
        <f>J56</f>
        <v/>
      </c>
      <c r="K64" s="65">
        <f>K56</f>
        <v/>
      </c>
      <c r="L64" s="65">
        <f>L56</f>
        <v/>
      </c>
      <c r="M64" s="65">
        <f>M56</f>
        <v/>
      </c>
      <c r="N64" s="65">
        <f>N56</f>
        <v/>
      </c>
    </row>
    <row r="65">
      <c r="B65" s="68" t="inlineStr">
        <is>
          <t>Разница (контроль)</t>
        </is>
      </c>
      <c r="C65" s="65">
        <f>C63-C64</f>
        <v/>
      </c>
      <c r="D65" s="65">
        <f>D63-D64</f>
        <v/>
      </c>
      <c r="E65" s="65">
        <f>E63-E64</f>
        <v/>
      </c>
      <c r="F65" s="65">
        <f>F63-F64</f>
        <v/>
      </c>
      <c r="G65" s="65">
        <f>G63-G64</f>
        <v/>
      </c>
      <c r="H65" s="65">
        <f>H63-H64</f>
        <v/>
      </c>
      <c r="I65" s="65">
        <f>I63-I64</f>
        <v/>
      </c>
      <c r="J65" s="65">
        <f>J63-J64</f>
        <v/>
      </c>
      <c r="K65" s="65">
        <f>K63-K64</f>
        <v/>
      </c>
      <c r="L65" s="65">
        <f>L63-L64</f>
        <v/>
      </c>
      <c r="M65" s="65">
        <f>M63-M64</f>
        <v/>
      </c>
      <c r="N65" s="65">
        <f>N63-N64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39"/>
  <sheetViews>
    <sheetView zoomScale="90" zoomScaleNormal="90" workbookViewId="0">
      <pane ySplit="1" topLeftCell="A2" activePane="bottomLeft" state="frozen"/>
      <selection pane="bottomLeft" activeCell="B2" sqref="B2"/>
    </sheetView>
  </sheetViews>
  <sheetFormatPr baseColWidth="8" defaultColWidth="9.109375" defaultRowHeight="14.4"/>
  <cols>
    <col width="1.5546875" customWidth="1" style="23" min="1" max="1"/>
    <col width="40.21875" customWidth="1" style="23" min="2" max="2"/>
    <col width="18.33203125" bestFit="1" customWidth="1" style="23" min="3" max="9"/>
    <col width="18.6640625" bestFit="1" customWidth="1" style="23" min="10" max="13"/>
    <col width="23.77734375" bestFit="1" customWidth="1" style="23" min="14" max="14"/>
    <col width="19.44140625" bestFit="1" customWidth="1" style="11" min="15" max="15"/>
    <col width="19.44140625" bestFit="1" customWidth="1" style="47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customFormat="1" s="23">
      <c r="B3" s="38" t="inlineStr">
        <is>
          <t>Доход от реализации</t>
        </is>
      </c>
      <c r="C3" s="33" t="n"/>
      <c r="D3" s="33" t="n"/>
      <c r="E3" s="33" t="n"/>
      <c r="F3" s="33" t="n"/>
      <c r="G3" s="33" t="n"/>
      <c r="H3" s="33" t="n"/>
      <c r="I3" s="39" t="n"/>
      <c r="J3" s="39" t="n"/>
      <c r="K3" s="39" t="n"/>
      <c r="L3" s="39" t="n"/>
      <c r="M3" s="39" t="n"/>
      <c r="N3" s="39" t="n"/>
      <c r="O3" s="31">
        <f>SUM(C3:N3)</f>
        <v/>
      </c>
      <c r="P3" s="47" t="n"/>
    </row>
    <row r="4">
      <c r="B4" s="9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1">
        <f>SUM(I4:N4)</f>
        <v/>
      </c>
    </row>
    <row r="5" ht="15" customHeight="1" thickBot="1">
      <c r="B5" s="14" t="inlineStr">
        <is>
          <t xml:space="preserve">ИТОГО </t>
        </is>
      </c>
      <c r="C5" s="15">
        <f>C3</f>
        <v/>
      </c>
      <c r="D5" s="15">
        <f>D3</f>
        <v/>
      </c>
      <c r="E5" s="15">
        <f>E3</f>
        <v/>
      </c>
      <c r="F5" s="15">
        <f>F3</f>
        <v/>
      </c>
      <c r="G5" s="15">
        <f>G3</f>
        <v/>
      </c>
      <c r="H5" s="15">
        <f>H3</f>
        <v/>
      </c>
      <c r="I5" s="15">
        <f>I3</f>
        <v/>
      </c>
      <c r="J5" s="15">
        <f>J3</f>
        <v/>
      </c>
      <c r="K5" s="15">
        <f>K3</f>
        <v/>
      </c>
      <c r="L5" s="15">
        <f>L3</f>
        <v/>
      </c>
      <c r="M5" s="15">
        <f>M3</f>
        <v/>
      </c>
      <c r="N5" s="15">
        <f>N3</f>
        <v/>
      </c>
      <c r="O5" s="16">
        <f>SUM(O2:O4)</f>
        <v/>
      </c>
    </row>
    <row r="6">
      <c r="B6" s="2" t="inlineStr">
        <is>
          <t>Расходы ТШО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customFormat="1" s="23">
      <c r="B7" s="33" t="inlineStr">
        <is>
          <t>GPS</t>
        </is>
      </c>
      <c r="C7" s="33" t="n"/>
      <c r="D7" s="33" t="n"/>
      <c r="E7" s="33" t="n"/>
      <c r="F7" s="33" t="n"/>
      <c r="G7" s="33" t="n"/>
      <c r="H7" s="33" t="n"/>
      <c r="I7" s="39" t="n"/>
      <c r="J7" s="39" t="n"/>
      <c r="K7" s="39" t="n"/>
      <c r="L7" s="39" t="n"/>
      <c r="M7" s="39" t="n"/>
      <c r="N7" s="39" t="n"/>
      <c r="O7" s="51">
        <f>SUM(C7:N7)</f>
        <v/>
      </c>
      <c r="P7" s="47" t="n"/>
    </row>
    <row r="8" customFormat="1" s="23">
      <c r="B8" s="53" t="inlineStr">
        <is>
          <t>Амортизация</t>
        </is>
      </c>
      <c r="C8" s="53" t="n"/>
      <c r="D8" s="53" t="n"/>
      <c r="E8" s="53" t="n"/>
      <c r="F8" s="53" t="n"/>
      <c r="G8" s="53" t="n"/>
      <c r="H8" s="53" t="n"/>
      <c r="I8" s="52" t="n"/>
      <c r="J8" s="52" t="n"/>
      <c r="K8" s="52" t="n"/>
      <c r="L8" s="52" t="n"/>
      <c r="M8" s="52" t="n"/>
      <c r="N8" s="52" t="n"/>
      <c r="O8" s="55">
        <f>SUM(C8:N8)</f>
        <v/>
      </c>
      <c r="P8" s="47" t="n"/>
    </row>
    <row r="9">
      <c r="B9" s="52" t="inlineStr">
        <is>
          <t>Аренда офиса</t>
        </is>
      </c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5">
        <f>SUM(C9:N9)</f>
        <v/>
      </c>
    </row>
    <row r="10" customFormat="1" s="23">
      <c r="B10" s="33" t="inlineStr">
        <is>
          <t>Аренда техники</t>
        </is>
      </c>
      <c r="C10" s="33" t="n"/>
      <c r="D10" s="33" t="n"/>
      <c r="E10" s="33" t="n"/>
      <c r="F10" s="33" t="n"/>
      <c r="G10" s="33" t="n"/>
      <c r="H10" s="33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  <c r="P10" s="47" t="n"/>
    </row>
    <row r="11" customFormat="1" s="23">
      <c r="B11" s="33" t="inlineStr">
        <is>
          <t>ГСМ</t>
        </is>
      </c>
      <c r="C11" s="33" t="n"/>
      <c r="D11" s="33" t="n"/>
      <c r="E11" s="33" t="n"/>
      <c r="F11" s="33" t="n"/>
      <c r="G11" s="33" t="n"/>
      <c r="H11" s="33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  <c r="P11" s="47" t="n"/>
    </row>
    <row r="12" customFormat="1" s="23">
      <c r="B12" s="33" t="inlineStr">
        <is>
          <t>Заработная плата</t>
        </is>
      </c>
      <c r="C12" s="39" t="n"/>
      <c r="D12" s="39" t="n"/>
      <c r="E12" s="33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  <c r="P12" s="47" t="n"/>
    </row>
    <row r="13" customFormat="1" s="23">
      <c r="B13" s="33" t="inlineStr">
        <is>
          <t>Интернет+ связь</t>
        </is>
      </c>
      <c r="C13" s="33" t="n"/>
      <c r="D13" s="33" t="n"/>
      <c r="E13" s="33" t="n"/>
      <c r="F13" s="33" t="n"/>
      <c r="G13" s="33" t="n"/>
      <c r="H13" s="33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  <c r="P13" s="47" t="n"/>
    </row>
    <row r="14" customFormat="1" s="23">
      <c r="B14" s="33" t="inlineStr">
        <is>
          <t>Мед.обслуживание</t>
        </is>
      </c>
      <c r="C14" s="33" t="n"/>
      <c r="D14" s="33" t="n"/>
      <c r="E14" s="33" t="n"/>
      <c r="F14" s="33" t="n"/>
      <c r="G14" s="33" t="n"/>
      <c r="H14" s="33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  <c r="P14" s="47" t="n"/>
    </row>
    <row r="15" customFormat="1" s="23">
      <c r="B15" s="33" t="inlineStr">
        <is>
          <t>Налоги</t>
        </is>
      </c>
      <c r="C15" s="33" t="n"/>
      <c r="D15" s="33" t="n"/>
      <c r="E15" s="33" t="n"/>
      <c r="F15" s="33" t="n"/>
      <c r="G15" s="33" t="n"/>
      <c r="H15" s="33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  <c r="P15" s="47" t="n"/>
    </row>
    <row r="16" customFormat="1" s="23">
      <c r="B16" s="33" t="inlineStr">
        <is>
          <t>Прочие услуги сторонних организаций</t>
        </is>
      </c>
      <c r="C16" s="33" t="n"/>
      <c r="D16" s="33" t="n"/>
      <c r="E16" s="33" t="n"/>
      <c r="F16" s="39" t="n"/>
      <c r="G16" s="39" t="n"/>
      <c r="H16" s="33" t="n"/>
      <c r="I16" s="39" t="n"/>
      <c r="J16" s="39" t="n"/>
      <c r="K16" s="39" t="n"/>
      <c r="L16" s="39" t="n"/>
      <c r="M16" s="39" t="n"/>
      <c r="N16" s="39" t="n"/>
      <c r="O16" s="51">
        <f>SUM(C16:N16)</f>
        <v/>
      </c>
      <c r="P16" s="47" t="n"/>
    </row>
    <row r="17" customFormat="1" s="23">
      <c r="B17" s="33" t="inlineStr">
        <is>
          <t>Расходны на наем жилья и Суточные</t>
        </is>
      </c>
      <c r="C17" s="33" t="n"/>
      <c r="D17" s="33" t="n"/>
      <c r="E17" s="33" t="n"/>
      <c r="F17" s="33" t="n"/>
      <c r="G17" s="33" t="n"/>
      <c r="H17" s="33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  <c r="P17" s="47" t="n"/>
    </row>
    <row r="18" customFormat="1" s="23">
      <c r="B18" s="33" t="inlineStr">
        <is>
          <t>Расходы на питание и проживание</t>
        </is>
      </c>
      <c r="C18" s="33" t="n"/>
      <c r="D18" s="33" t="n"/>
      <c r="E18" s="33" t="n"/>
      <c r="F18" s="33" t="n"/>
      <c r="G18" s="33" t="n"/>
      <c r="H18" s="33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  <c r="P18" s="47" t="n"/>
    </row>
    <row r="19" customFormat="1" s="23">
      <c r="B19" s="33" t="inlineStr">
        <is>
          <t>Расходы на проезд</t>
        </is>
      </c>
      <c r="C19" s="33" t="n"/>
      <c r="D19" s="33" t="n"/>
      <c r="E19" s="33" t="n"/>
      <c r="F19" s="33" t="n"/>
      <c r="G19" s="33" t="n"/>
      <c r="H19" s="33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  <c r="P19" s="47" t="n"/>
    </row>
    <row r="20" customFormat="1" s="23">
      <c r="B20" s="33" t="inlineStr">
        <is>
          <t>Расходы по доставке</t>
        </is>
      </c>
      <c r="C20" s="33" t="n"/>
      <c r="D20" s="33" t="n"/>
      <c r="E20" s="33" t="n"/>
      <c r="F20" s="33" t="n"/>
      <c r="G20" s="33" t="n"/>
      <c r="H20" s="33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  <c r="P20" s="47" t="n"/>
    </row>
    <row r="21" customFormat="1" s="23">
      <c r="B21" s="33" t="inlineStr">
        <is>
          <t>Расходы по обучению</t>
        </is>
      </c>
      <c r="C21" s="33" t="n"/>
      <c r="D21" s="33" t="n"/>
      <c r="E21" s="33" t="n"/>
      <c r="F21" s="33" t="n"/>
      <c r="G21" s="33" t="n"/>
      <c r="H21" s="33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  <c r="P21" s="47" t="n"/>
    </row>
    <row r="22">
      <c r="B22" s="39" t="inlineStr">
        <is>
          <t xml:space="preserve">Расходы по перевозке 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  <c r="P22" s="23" t="n"/>
    </row>
    <row r="23" customFormat="1" s="23">
      <c r="B23" s="33" t="inlineStr">
        <is>
          <t>Расходы по СИЗ</t>
        </is>
      </c>
      <c r="C23" s="33" t="n"/>
      <c r="D23" s="33" t="n"/>
      <c r="E23" s="33" t="n"/>
      <c r="F23" s="33" t="n"/>
      <c r="G23" s="33" t="n"/>
      <c r="H23" s="33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  <c r="P23" s="47" t="n"/>
    </row>
    <row r="24" customFormat="1" s="23">
      <c r="B24" s="33" t="inlineStr">
        <is>
          <t>Расходы на утилизацию</t>
        </is>
      </c>
      <c r="C24" s="33" t="n"/>
      <c r="D24" s="33" t="n"/>
      <c r="E24" s="33" t="n"/>
      <c r="F24" s="33" t="n"/>
      <c r="G24" s="33" t="n"/>
      <c r="H24" s="33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  <c r="P24" s="47" t="n"/>
    </row>
    <row r="25" customFormat="1" s="23">
      <c r="B25" s="33" t="inlineStr">
        <is>
          <t>Расходы на ремонт авто/ оборудования</t>
        </is>
      </c>
      <c r="C25" s="33" t="n"/>
      <c r="D25" s="33" t="n"/>
      <c r="E25" s="33" t="n"/>
      <c r="F25" s="33" t="n"/>
      <c r="G25" s="33" t="n"/>
      <c r="H25" s="33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  <c r="P25" s="47" t="n"/>
    </row>
    <row r="26" customFormat="1" s="23">
      <c r="B26" s="36" t="inlineStr">
        <is>
          <t>Услуги сторонних/ подрядных организаций</t>
        </is>
      </c>
      <c r="C26" s="33" t="n"/>
      <c r="D26" s="33" t="n"/>
      <c r="E26" s="33" t="n"/>
      <c r="F26" s="33" t="n"/>
      <c r="G26" s="33" t="n"/>
      <c r="H26" s="33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  <c r="P26" s="47" t="n"/>
    </row>
    <row r="27" customFormat="1" s="23">
      <c r="B27" s="33" t="inlineStr">
        <is>
          <t>Содержание на сайте офиса+ контейнера</t>
        </is>
      </c>
      <c r="C27" s="33" t="n"/>
      <c r="D27" s="33" t="n"/>
      <c r="E27" s="33" t="n"/>
      <c r="F27" s="33" t="n"/>
      <c r="G27" s="33" t="n"/>
      <c r="H27" s="33" t="n"/>
      <c r="I27" s="39" t="n"/>
      <c r="J27" s="39" t="n"/>
      <c r="K27" s="39" t="n"/>
      <c r="L27" s="39" t="n"/>
      <c r="M27" s="39" t="n"/>
      <c r="N27" s="39" t="n"/>
      <c r="O27" s="51">
        <f>SUM(C27:N27)</f>
        <v/>
      </c>
      <c r="P27" s="47" t="n"/>
    </row>
    <row r="28" customFormat="1" s="23">
      <c r="B28" s="33" t="inlineStr">
        <is>
          <t>Списанные материалы</t>
        </is>
      </c>
      <c r="C28" s="33" t="n"/>
      <c r="D28" s="33" t="n"/>
      <c r="E28" s="33" t="n"/>
      <c r="F28" s="33" t="n"/>
      <c r="G28" s="33" t="n"/>
      <c r="H28" s="33" t="n"/>
      <c r="I28" s="39" t="n"/>
      <c r="J28" s="39" t="n"/>
      <c r="K28" s="39" t="n"/>
      <c r="L28" s="39" t="n"/>
      <c r="M28" s="39" t="n"/>
      <c r="N28" s="39" t="n"/>
      <c r="O28" s="51">
        <f>SUM(C28:N28)</f>
        <v/>
      </c>
      <c r="P28" s="47" t="n"/>
    </row>
    <row r="29" customFormat="1" s="23">
      <c r="B29" s="53" t="inlineStr">
        <is>
          <t>Страхование</t>
        </is>
      </c>
      <c r="C29" s="53" t="n"/>
      <c r="D29" s="53" t="n"/>
      <c r="E29" s="53" t="n"/>
      <c r="F29" s="53" t="n"/>
      <c r="G29" s="53" t="n"/>
      <c r="H29" s="53" t="n"/>
      <c r="I29" s="52" t="n"/>
      <c r="J29" s="52" t="n"/>
      <c r="K29" s="52" t="n"/>
      <c r="L29" s="52" t="n"/>
      <c r="M29" s="52" t="n"/>
      <c r="N29" s="52" t="n"/>
      <c r="O29" s="55">
        <f>SUM(C29:N29)</f>
        <v/>
      </c>
      <c r="P29" s="47" t="n"/>
    </row>
    <row r="30">
      <c r="B30" s="56" t="inlineStr">
        <is>
          <t>Расходы на финансирование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</row>
    <row r="31" ht="15" customFormat="1" customHeight="1" s="30">
      <c r="B31" s="13" t="inlineStr">
        <is>
          <t>Итого</t>
        </is>
      </c>
      <c r="C31" s="13">
        <f>SUM(C7:C30)</f>
        <v/>
      </c>
      <c r="D31" s="13">
        <f>SUM(D7:D30)</f>
        <v/>
      </c>
      <c r="E31" s="13">
        <f>SUM(E7:E30)</f>
        <v/>
      </c>
      <c r="F31" s="13">
        <f>SUM(F7:F30)</f>
        <v/>
      </c>
      <c r="G31" s="13">
        <f>SUM(G7:G30)</f>
        <v/>
      </c>
      <c r="H31" s="13">
        <f>SUM(H7:H30)</f>
        <v/>
      </c>
      <c r="I31" s="13">
        <f>SUM(I7:I30)</f>
        <v/>
      </c>
      <c r="J31" s="13">
        <f>SUM(J7:J30)</f>
        <v/>
      </c>
      <c r="K31" s="13">
        <f>SUM(K7:K30)</f>
        <v/>
      </c>
      <c r="L31" s="13">
        <f>SUM(L7:L30)</f>
        <v/>
      </c>
      <c r="M31" s="13">
        <f>SUM(M7:M30)</f>
        <v/>
      </c>
      <c r="N31" s="13">
        <f>SUM(N7:N30)</f>
        <v/>
      </c>
      <c r="O31" s="13">
        <f>SUM(O16:O29)</f>
        <v/>
      </c>
    </row>
    <row r="32" ht="15" customFormat="1" customHeight="1" s="30">
      <c r="B32" s="29" t="inlineStr">
        <is>
          <t>Прочие доходы</t>
        </is>
      </c>
      <c r="C32" s="29" t="n"/>
      <c r="D32" s="29" t="n"/>
      <c r="E32" s="29" t="n"/>
      <c r="F32" s="29" t="n"/>
      <c r="G32" s="29" t="n"/>
      <c r="H32" s="29" t="n"/>
      <c r="I32" s="39" t="n"/>
      <c r="J32" s="39" t="n"/>
      <c r="K32" s="39" t="n"/>
      <c r="L32" s="39" t="n"/>
      <c r="M32" s="39" t="n"/>
      <c r="N32" s="39" t="n"/>
      <c r="O32" s="51">
        <f>SUM(C31:N31)</f>
        <v/>
      </c>
      <c r="P32" s="49" t="n"/>
    </row>
    <row r="33" customFormat="1" s="30">
      <c r="B33" s="29" t="inlineStr">
        <is>
          <t>Прочие расходы</t>
        </is>
      </c>
      <c r="C33" s="29" t="n"/>
      <c r="D33" s="29" t="n"/>
      <c r="E33" s="29" t="n"/>
      <c r="F33" s="29" t="n"/>
      <c r="G33" s="29" t="n"/>
      <c r="H33" s="29" t="n"/>
      <c r="I33" s="39" t="n"/>
      <c r="J33" s="39" t="n"/>
      <c r="K33" s="39" t="n"/>
      <c r="L33" s="39" t="n"/>
      <c r="M33" s="39" t="n"/>
      <c r="N33" s="39" t="n"/>
      <c r="O33" s="51">
        <f>SUM(C32:N32)</f>
        <v/>
      </c>
      <c r="P33" s="49" t="n"/>
    </row>
    <row r="34" customFormat="1" s="30">
      <c r="B34" s="18" t="inlineStr">
        <is>
          <t>ДОХОД ДО КПН</t>
        </is>
      </c>
      <c r="C34" s="13">
        <f>C5-C31+C32-C33</f>
        <v/>
      </c>
      <c r="D34" s="13">
        <f>D5-D31+D32-D33</f>
        <v/>
      </c>
      <c r="E34" s="13">
        <f>E5-E31+E32-E33</f>
        <v/>
      </c>
      <c r="F34" s="13">
        <f>F5-F31+F32-F33</f>
        <v/>
      </c>
      <c r="G34" s="13">
        <f>G5-G31+G32-G33</f>
        <v/>
      </c>
      <c r="H34" s="13">
        <f>H5-H31+H32-H33</f>
        <v/>
      </c>
      <c r="I34" s="13">
        <f>I5-I31+I32-I33</f>
        <v/>
      </c>
      <c r="J34" s="13">
        <f>J5-J31+J32-J33</f>
        <v/>
      </c>
      <c r="K34" s="13">
        <f>K5-K31+K32-K33</f>
        <v/>
      </c>
      <c r="L34" s="13">
        <f>L5-L31+L32-L33</f>
        <v/>
      </c>
      <c r="M34" s="13">
        <f>M5-M31+M32-M33</f>
        <v/>
      </c>
      <c r="N34" s="13">
        <f>N5-N31+N32-N33</f>
        <v/>
      </c>
      <c r="O34" s="13">
        <f>O5-O30+O31-O32</f>
        <v/>
      </c>
      <c r="P34" s="49" t="n"/>
    </row>
    <row r="35" customFormat="1" s="30">
      <c r="B35" s="29" t="inlineStr">
        <is>
          <t>КПН</t>
        </is>
      </c>
      <c r="C35" s="30">
        <f>C34*0.2</f>
        <v/>
      </c>
      <c r="D35" s="30">
        <f>D34*0.2</f>
        <v/>
      </c>
      <c r="E35" s="30">
        <f>E34*0.2</f>
        <v/>
      </c>
      <c r="F35" s="30">
        <f>F34*0.2</f>
        <v/>
      </c>
      <c r="G35" s="30">
        <f>G34*0.2</f>
        <v/>
      </c>
      <c r="H35" s="30">
        <f>H34*0.2</f>
        <v/>
      </c>
      <c r="I35" s="30">
        <f>I34*0.2</f>
        <v/>
      </c>
      <c r="J35" s="30">
        <f>J34*0.2</f>
        <v/>
      </c>
      <c r="K35" s="30">
        <f>K34*0.2</f>
        <v/>
      </c>
      <c r="L35" s="30">
        <f>L34*0.2</f>
        <v/>
      </c>
      <c r="M35" s="30">
        <f>M34*0.2</f>
        <v/>
      </c>
      <c r="N35" s="30">
        <f>N34*0.2</f>
        <v/>
      </c>
      <c r="O35" s="51">
        <f>SUM(C34:N34)</f>
        <v/>
      </c>
      <c r="P35" s="49" t="n"/>
    </row>
    <row r="36" customFormat="1" s="11">
      <c r="B36" s="18" t="inlineStr">
        <is>
          <t>ЧИСТЫЙ ДОХОД</t>
        </is>
      </c>
      <c r="C36" s="13">
        <f>C34-C35</f>
        <v/>
      </c>
      <c r="D36" s="13">
        <f>D34-D35</f>
        <v/>
      </c>
      <c r="E36" s="13">
        <f>E34-E35</f>
        <v/>
      </c>
      <c r="F36" s="13">
        <f>F34-F35</f>
        <v/>
      </c>
      <c r="G36" s="13">
        <f>G34-G35</f>
        <v/>
      </c>
      <c r="H36" s="13">
        <f>H34-H35</f>
        <v/>
      </c>
      <c r="I36" s="13">
        <f>I34-I35</f>
        <v/>
      </c>
      <c r="J36" s="13">
        <f>J34-J35</f>
        <v/>
      </c>
      <c r="K36" s="13">
        <f>K34-K35</f>
        <v/>
      </c>
      <c r="L36" s="13">
        <f>L34-L35</f>
        <v/>
      </c>
      <c r="M36" s="13">
        <f>M34-M35</f>
        <v/>
      </c>
      <c r="N36" s="13">
        <f>N34-N35</f>
        <v/>
      </c>
      <c r="O36" s="13">
        <f>O33-O34</f>
        <v/>
      </c>
      <c r="P36" s="49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P37" s="47" t="n"/>
    </row>
    <row r="38">
      <c r="I38" s="26" t="n"/>
      <c r="J38" s="26" t="n"/>
      <c r="K38" s="26" t="n"/>
      <c r="L38" s="26" t="n"/>
      <c r="M38" s="26" t="n"/>
      <c r="N38" s="33" t="inlineStr">
        <is>
          <t>Рентабельность до КПН</t>
        </is>
      </c>
      <c r="O38" s="27">
        <f>O33/O5</f>
        <v/>
      </c>
    </row>
    <row r="39">
      <c r="I39" s="26" t="n"/>
      <c r="J39" s="26" t="n"/>
      <c r="K39" s="26" t="n"/>
      <c r="L39" s="26" t="n"/>
      <c r="M39" s="26" t="n"/>
      <c r="N39" s="33" t="n"/>
      <c r="O39" s="2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39"/>
  <sheetViews>
    <sheetView zoomScale="90" zoomScaleNormal="90" workbookViewId="0">
      <selection activeCell="B2" sqref="B2"/>
    </sheetView>
  </sheetViews>
  <sheetFormatPr baseColWidth="8" defaultColWidth="9.109375" defaultRowHeight="14.4"/>
  <cols>
    <col width="1.5546875" customWidth="1" style="23" min="1" max="1"/>
    <col width="40.21875" customWidth="1" style="23" min="2" max="2"/>
    <col width="18.33203125" bestFit="1" customWidth="1" style="23" min="3" max="9"/>
    <col width="18.6640625" bestFit="1" customWidth="1" style="23" min="10" max="13"/>
    <col width="23.77734375" bestFit="1" customWidth="1" style="23" min="14" max="14"/>
    <col width="19.44140625" bestFit="1" customWidth="1" style="11" min="15" max="15"/>
    <col width="19.44140625" bestFit="1" customWidth="1" style="47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customFormat="1" s="23">
      <c r="B3" s="38" t="inlineStr">
        <is>
          <t>Доход от реализации</t>
        </is>
      </c>
      <c r="C3" s="33" t="n"/>
      <c r="D3" s="33" t="n"/>
      <c r="E3" s="33" t="n"/>
      <c r="F3" s="33" t="n"/>
      <c r="G3" s="33" t="n"/>
      <c r="H3" s="33" t="n"/>
      <c r="I3" s="39" t="n"/>
      <c r="J3" s="39" t="n"/>
      <c r="K3" s="39" t="n"/>
      <c r="L3" s="39" t="n"/>
      <c r="M3" s="39" t="n"/>
      <c r="N3" s="39" t="n"/>
      <c r="O3" s="31">
        <f>SUM(C3:N3)</f>
        <v/>
      </c>
      <c r="P3" s="47" t="n"/>
    </row>
    <row r="4">
      <c r="B4" s="9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1">
        <f>SUM(I4:N4)</f>
        <v/>
      </c>
    </row>
    <row r="5" ht="15" customHeight="1" thickBot="1">
      <c r="B5" s="14" t="inlineStr">
        <is>
          <t xml:space="preserve">ИТОГО </t>
        </is>
      </c>
      <c r="C5" s="15">
        <f>C3</f>
        <v/>
      </c>
      <c r="D5" s="15">
        <f>D3</f>
        <v/>
      </c>
      <c r="E5" s="15">
        <f>E3</f>
        <v/>
      </c>
      <c r="F5" s="15">
        <f>F3</f>
        <v/>
      </c>
      <c r="G5" s="15">
        <f>G3</f>
        <v/>
      </c>
      <c r="H5" s="15">
        <f>H3</f>
        <v/>
      </c>
      <c r="I5" s="15">
        <f>I3</f>
        <v/>
      </c>
      <c r="J5" s="15">
        <f>J3</f>
        <v/>
      </c>
      <c r="K5" s="15">
        <f>K3</f>
        <v/>
      </c>
      <c r="L5" s="15">
        <f>L3</f>
        <v/>
      </c>
      <c r="M5" s="15">
        <f>M3</f>
        <v/>
      </c>
      <c r="N5" s="15">
        <f>N3</f>
        <v/>
      </c>
      <c r="O5" s="16">
        <f>SUM(O2:O4)</f>
        <v/>
      </c>
    </row>
    <row r="6">
      <c r="B6" s="2" t="inlineStr">
        <is>
          <t>Расходы ТШО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customFormat="1" s="23">
      <c r="B7" s="33" t="inlineStr">
        <is>
          <t>GPS</t>
        </is>
      </c>
      <c r="C7" s="33" t="n"/>
      <c r="D7" s="33" t="n"/>
      <c r="E7" s="33" t="n"/>
      <c r="F7" s="33" t="n"/>
      <c r="G7" s="33" t="n"/>
      <c r="H7" s="33" t="n"/>
      <c r="I7" s="39" t="n"/>
      <c r="J7" s="39" t="n"/>
      <c r="K7" s="39" t="n"/>
      <c r="L7" s="39" t="n"/>
      <c r="M7" s="39" t="n"/>
      <c r="N7" s="39" t="n"/>
      <c r="O7" s="51">
        <f>SUM(C7:N7)</f>
        <v/>
      </c>
      <c r="P7" s="47" t="n"/>
    </row>
    <row r="8" customFormat="1" s="23">
      <c r="B8" s="53" t="inlineStr">
        <is>
          <t>Амортизация</t>
        </is>
      </c>
      <c r="C8" s="53" t="n"/>
      <c r="D8" s="53" t="n"/>
      <c r="E8" s="53" t="n"/>
      <c r="F8" s="53" t="n"/>
      <c r="G8" s="53" t="n"/>
      <c r="H8" s="53" t="n"/>
      <c r="I8" s="52" t="n"/>
      <c r="J8" s="52" t="n"/>
      <c r="K8" s="52" t="n"/>
      <c r="L8" s="52" t="n"/>
      <c r="M8" s="52" t="n"/>
      <c r="N8" s="52" t="n"/>
      <c r="O8" s="55">
        <f>SUM(C8:N8)</f>
        <v/>
      </c>
      <c r="P8" s="47" t="n"/>
    </row>
    <row r="9">
      <c r="B9" s="52" t="inlineStr">
        <is>
          <t>Аренда офиса</t>
        </is>
      </c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5">
        <f>SUM(C9:N9)</f>
        <v/>
      </c>
    </row>
    <row r="10" customFormat="1" s="23">
      <c r="B10" s="33" t="inlineStr">
        <is>
          <t>Аренда техники</t>
        </is>
      </c>
      <c r="C10" s="33" t="n"/>
      <c r="D10" s="33" t="n"/>
      <c r="E10" s="33" t="n"/>
      <c r="F10" s="33" t="n"/>
      <c r="G10" s="33" t="n"/>
      <c r="H10" s="33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  <c r="P10" s="47" t="n"/>
    </row>
    <row r="11" customFormat="1" s="23">
      <c r="B11" s="33" t="inlineStr">
        <is>
          <t>ГСМ</t>
        </is>
      </c>
      <c r="C11" s="33" t="n"/>
      <c r="D11" s="33" t="n"/>
      <c r="E11" s="33" t="n"/>
      <c r="F11" s="33" t="n"/>
      <c r="G11" s="33" t="n"/>
      <c r="H11" s="33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  <c r="P11" s="47" t="n"/>
    </row>
    <row r="12" customFormat="1" s="23">
      <c r="B12" s="33" t="inlineStr">
        <is>
          <t>Заработная плата</t>
        </is>
      </c>
      <c r="C12" s="39" t="n"/>
      <c r="D12" s="39" t="n"/>
      <c r="E12" s="33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  <c r="P12" s="47" t="n"/>
    </row>
    <row r="13" customFormat="1" s="23">
      <c r="B13" s="33" t="inlineStr">
        <is>
          <t>Интернет+связь</t>
        </is>
      </c>
      <c r="C13" s="33" t="n"/>
      <c r="D13" s="33" t="n"/>
      <c r="E13" s="33" t="n"/>
      <c r="F13" s="33" t="n"/>
      <c r="G13" s="33" t="n"/>
      <c r="H13" s="33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  <c r="P13" s="47" t="n"/>
    </row>
    <row r="14" customFormat="1" s="23">
      <c r="B14" s="33" t="inlineStr">
        <is>
          <t>Мед.обслуживание</t>
        </is>
      </c>
      <c r="C14" s="33" t="n"/>
      <c r="D14" s="33" t="n"/>
      <c r="E14" s="33" t="n"/>
      <c r="F14" s="33" t="n"/>
      <c r="G14" s="33" t="n"/>
      <c r="H14" s="33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  <c r="P14" s="47" t="n"/>
    </row>
    <row r="15" customFormat="1" s="23">
      <c r="B15" s="33" t="inlineStr">
        <is>
          <t>Налоги</t>
        </is>
      </c>
      <c r="C15" s="33" t="n"/>
      <c r="D15" s="33" t="n"/>
      <c r="E15" s="33" t="n"/>
      <c r="F15" s="33" t="n"/>
      <c r="G15" s="33" t="n"/>
      <c r="H15" s="33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  <c r="P15" s="47" t="n"/>
    </row>
    <row r="16" customFormat="1" s="23">
      <c r="B16" s="33" t="inlineStr">
        <is>
          <t>Прочие услуги</t>
        </is>
      </c>
      <c r="C16" s="33" t="n"/>
      <c r="D16" s="33" t="n"/>
      <c r="E16" s="33" t="n"/>
      <c r="F16" s="39" t="n"/>
      <c r="G16" s="33" t="n"/>
      <c r="H16" s="33" t="n"/>
      <c r="I16" s="39" t="n"/>
      <c r="J16" s="39" t="n"/>
      <c r="K16" s="39" t="n"/>
      <c r="L16" s="39" t="n"/>
      <c r="M16" s="39" t="n"/>
      <c r="N16" s="39" t="n"/>
      <c r="O16" s="51" t="n"/>
      <c r="P16" s="47" t="n"/>
    </row>
    <row r="17" customFormat="1" s="23">
      <c r="B17" s="33" t="inlineStr">
        <is>
          <t>Расходны на наем жилья и Суточные</t>
        </is>
      </c>
      <c r="C17" s="33" t="n"/>
      <c r="D17" s="33" t="n"/>
      <c r="E17" s="33" t="n"/>
      <c r="F17" s="33" t="n"/>
      <c r="G17" s="33" t="n"/>
      <c r="H17" s="33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  <c r="P17" s="47" t="n"/>
    </row>
    <row r="18" customFormat="1" s="23">
      <c r="B18" s="33" t="inlineStr">
        <is>
          <t>Расходы на питание и проживание</t>
        </is>
      </c>
      <c r="C18" s="33" t="n"/>
      <c r="E18" s="33" t="n"/>
      <c r="F18" s="33" t="n"/>
      <c r="G18" s="33" t="n"/>
      <c r="H18" s="33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  <c r="P18" s="47" t="n"/>
    </row>
    <row r="19" customFormat="1" s="23">
      <c r="B19" s="33" t="inlineStr">
        <is>
          <t>Расходы на проезд</t>
        </is>
      </c>
      <c r="C19" s="33" t="n"/>
      <c r="D19" s="33" t="n"/>
      <c r="E19" s="33" t="n"/>
      <c r="F19" s="33" t="n"/>
      <c r="G19" s="33" t="n"/>
      <c r="H19" s="33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  <c r="P19" s="47" t="n"/>
    </row>
    <row r="20" customFormat="1" s="23">
      <c r="B20" s="33" t="inlineStr">
        <is>
          <t>Расходы по доставке</t>
        </is>
      </c>
      <c r="C20" s="33" t="n"/>
      <c r="D20" s="33" t="n"/>
      <c r="E20" s="33" t="n"/>
      <c r="F20" s="33" t="n"/>
      <c r="G20" s="33" t="n"/>
      <c r="H20" s="33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  <c r="P20" s="47" t="n"/>
    </row>
    <row r="21" customFormat="1" s="23">
      <c r="B21" s="33" t="inlineStr">
        <is>
          <t>Расходы по обучению</t>
        </is>
      </c>
      <c r="C21" s="33" t="n"/>
      <c r="D21" s="33" t="n"/>
      <c r="E21" s="33" t="n"/>
      <c r="F21" s="33" t="n"/>
      <c r="G21" s="33" t="n"/>
      <c r="H21" s="33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  <c r="P21" s="47" t="n"/>
    </row>
    <row r="22">
      <c r="B22" s="39" t="inlineStr">
        <is>
          <t xml:space="preserve">Расходы по перевозке 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  <c r="P22" s="23" t="n"/>
    </row>
    <row r="23" customFormat="1" s="23">
      <c r="B23" s="33" t="inlineStr">
        <is>
          <t>Расходы по СИЗ</t>
        </is>
      </c>
      <c r="C23" s="33" t="n"/>
      <c r="D23" s="33" t="n"/>
      <c r="E23" s="33" t="n"/>
      <c r="F23" s="33" t="n"/>
      <c r="G23" s="33" t="n"/>
      <c r="H23" s="33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  <c r="P23" s="47" t="n"/>
    </row>
    <row r="24" customFormat="1" s="23">
      <c r="B24" s="33" t="inlineStr">
        <is>
          <t>Расходы на утилизацию</t>
        </is>
      </c>
      <c r="C24" s="33" t="n"/>
      <c r="D24" s="33" t="n"/>
      <c r="E24" s="33" t="n"/>
      <c r="F24" s="33" t="n"/>
      <c r="G24" s="33" t="n"/>
      <c r="H24" s="33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  <c r="P24" s="47" t="n"/>
    </row>
    <row r="25" customFormat="1" s="23">
      <c r="B25" s="33" t="inlineStr">
        <is>
          <t>Расходы на ремонт авто/ оборудования</t>
        </is>
      </c>
      <c r="C25" s="33" t="n"/>
      <c r="D25" s="33" t="n"/>
      <c r="E25" s="33" t="n"/>
      <c r="F25" s="33" t="n"/>
      <c r="G25" s="33" t="n"/>
      <c r="H25" s="33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  <c r="P25" s="47" t="n"/>
    </row>
    <row r="26" customFormat="1" s="23">
      <c r="B26" s="36" t="inlineStr">
        <is>
          <t>Услуги сторонних/ подрядных организаций</t>
        </is>
      </c>
      <c r="C26" s="33" t="n"/>
      <c r="D26" s="33" t="n"/>
      <c r="E26" s="33" t="n"/>
      <c r="F26" s="33" t="n"/>
      <c r="G26" s="33" t="n"/>
      <c r="H26" s="33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  <c r="P26" s="47" t="n"/>
    </row>
    <row r="27" customFormat="1" s="23">
      <c r="B27" s="33" t="inlineStr">
        <is>
          <t>Содержание на сайте офиса+ контейнера</t>
        </is>
      </c>
      <c r="C27" s="33" t="n"/>
      <c r="D27" s="33" t="n"/>
      <c r="E27" s="33" t="n"/>
      <c r="F27" s="33" t="n"/>
      <c r="G27" s="33" t="n"/>
      <c r="H27" s="33" t="n"/>
      <c r="I27" s="39" t="n"/>
      <c r="J27" s="39" t="n"/>
      <c r="K27" s="39" t="n"/>
      <c r="L27" s="39" t="n"/>
      <c r="M27" s="39" t="n"/>
      <c r="N27" s="39" t="n"/>
      <c r="O27" s="51">
        <f>SUM(C27:N27)</f>
        <v/>
      </c>
      <c r="P27" s="47" t="n"/>
    </row>
    <row r="28" customFormat="1" s="23">
      <c r="B28" s="33" t="inlineStr">
        <is>
          <t>Списанные материалы</t>
        </is>
      </c>
      <c r="C28" s="33" t="n"/>
      <c r="D28" s="33" t="n"/>
      <c r="E28" s="33" t="n"/>
      <c r="F28" s="33" t="n"/>
      <c r="G28" s="33" t="n"/>
      <c r="H28" s="33" t="n"/>
      <c r="I28" s="39" t="n"/>
      <c r="J28" s="39" t="n"/>
      <c r="K28" s="39" t="n"/>
      <c r="L28" s="39" t="n"/>
      <c r="M28" s="39" t="n"/>
      <c r="N28" s="39" t="n"/>
      <c r="O28" s="51">
        <f>SUM(C28:N28)</f>
        <v/>
      </c>
      <c r="P28" s="47" t="n"/>
    </row>
    <row r="29" customFormat="1" s="23">
      <c r="B29" s="53" t="inlineStr">
        <is>
          <t>Страхование</t>
        </is>
      </c>
      <c r="C29" s="53" t="n"/>
      <c r="D29" s="53" t="n"/>
      <c r="E29" s="53" t="n"/>
      <c r="F29" s="53" t="n"/>
      <c r="G29" s="53" t="n"/>
      <c r="H29" s="53" t="n"/>
      <c r="I29" s="52" t="n"/>
      <c r="J29" s="52" t="n"/>
      <c r="K29" s="52" t="n"/>
      <c r="L29" s="52" t="n"/>
      <c r="M29" s="52" t="n"/>
      <c r="N29" s="52" t="n"/>
      <c r="O29" s="55">
        <f>SUM(C29:N29)</f>
        <v/>
      </c>
      <c r="P29" s="47" t="n"/>
    </row>
    <row r="30">
      <c r="B30" s="56" t="inlineStr">
        <is>
          <t>Расходы на финансирование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</row>
    <row r="31" ht="15" customFormat="1" customHeight="1" s="30">
      <c r="B31" s="13" t="inlineStr">
        <is>
          <t>Итого</t>
        </is>
      </c>
      <c r="C31" s="13">
        <f>SUM(C7:C30)</f>
        <v/>
      </c>
      <c r="D31" s="13">
        <f>SUM(D7:D30)</f>
        <v/>
      </c>
      <c r="E31" s="13">
        <f>SUM(E7:E30)</f>
        <v/>
      </c>
      <c r="F31" s="13">
        <f>SUM(F7:F30)</f>
        <v/>
      </c>
      <c r="G31" s="13">
        <f>SUM(G7:G30)</f>
        <v/>
      </c>
      <c r="H31" s="13">
        <f>SUM(H7:H30)</f>
        <v/>
      </c>
      <c r="I31" s="13">
        <f>SUM(I7:I30)</f>
        <v/>
      </c>
      <c r="J31" s="13">
        <f>SUM(J7:J30)</f>
        <v/>
      </c>
      <c r="K31" s="13">
        <f>SUM(K7:K30)</f>
        <v/>
      </c>
      <c r="L31" s="13">
        <f>SUM(L7:L30)</f>
        <v/>
      </c>
      <c r="M31" s="13">
        <f>SUM(M7:M30)</f>
        <v/>
      </c>
      <c r="N31" s="13">
        <f>SUM(N7:N30)</f>
        <v/>
      </c>
      <c r="O31" s="13">
        <f>SUM(O14:O29)</f>
        <v/>
      </c>
    </row>
    <row r="32" ht="15" customFormat="1" customHeight="1" s="30">
      <c r="B32" s="29" t="inlineStr">
        <is>
          <t>Прочие доходы</t>
        </is>
      </c>
      <c r="C32" s="29" t="n"/>
      <c r="D32" s="29" t="n"/>
      <c r="E32" s="29" t="n"/>
      <c r="F32" s="29" t="n"/>
      <c r="G32" s="29" t="n"/>
      <c r="H32" s="29" t="n"/>
      <c r="I32" s="39" t="n"/>
      <c r="J32" s="39" t="n"/>
      <c r="K32" s="39" t="n"/>
      <c r="L32" s="39" t="n"/>
      <c r="M32" s="39" t="n"/>
      <c r="N32" s="39" t="n"/>
      <c r="O32" s="51">
        <f>SUM(C31:N31)</f>
        <v/>
      </c>
      <c r="P32" s="49" t="n"/>
    </row>
    <row r="33" customFormat="1" s="30">
      <c r="B33" s="29" t="inlineStr">
        <is>
          <t>Прочие расходы</t>
        </is>
      </c>
      <c r="C33" s="29" t="n"/>
      <c r="D33" s="29" t="n"/>
      <c r="E33" s="29" t="n"/>
      <c r="F33" s="29" t="n"/>
      <c r="G33" s="29" t="n"/>
      <c r="H33" s="29" t="n"/>
      <c r="I33" s="39" t="n"/>
      <c r="J33" s="39" t="n"/>
      <c r="K33" s="39" t="n"/>
      <c r="L33" s="39" t="n"/>
      <c r="M33" s="39" t="n"/>
      <c r="N33" s="39" t="n"/>
      <c r="O33" s="51">
        <f>SUM(C32:N32)</f>
        <v/>
      </c>
      <c r="P33" s="49" t="n"/>
    </row>
    <row r="34" customFormat="1" s="30">
      <c r="B34" s="18" t="inlineStr">
        <is>
          <t>ДОХОД ДО КПН</t>
        </is>
      </c>
      <c r="C34" s="13">
        <f>C5-C31+C32-C33</f>
        <v/>
      </c>
      <c r="D34" s="13">
        <f>D5-D31+D32-D33</f>
        <v/>
      </c>
      <c r="E34" s="13">
        <f>E5-E31+E32-E33</f>
        <v/>
      </c>
      <c r="F34" s="13">
        <f>F5-F31+F32-F33</f>
        <v/>
      </c>
      <c r="G34" s="13">
        <f>G5-G31+G32-G33</f>
        <v/>
      </c>
      <c r="H34" s="13">
        <f>H5-H31+H32-H33</f>
        <v/>
      </c>
      <c r="I34" s="13">
        <f>I5-I31+I32-I33</f>
        <v/>
      </c>
      <c r="J34" s="13">
        <f>J5-J31+J32-J33</f>
        <v/>
      </c>
      <c r="K34" s="13">
        <f>K5-K31+K32-K33</f>
        <v/>
      </c>
      <c r="L34" s="13">
        <f>L5-L31+L32-L33</f>
        <v/>
      </c>
      <c r="M34" s="13">
        <f>M5-M31+M32-M33</f>
        <v/>
      </c>
      <c r="N34" s="13">
        <f>N5-N31+N32-N33</f>
        <v/>
      </c>
      <c r="O34" s="13">
        <f>O5-O30+O31-O32</f>
        <v/>
      </c>
      <c r="P34" s="49" t="n"/>
    </row>
    <row r="35" customFormat="1" s="30">
      <c r="B35" s="29" t="inlineStr">
        <is>
          <t>КПН</t>
        </is>
      </c>
      <c r="C35" s="30">
        <f>C34*0.2</f>
        <v/>
      </c>
      <c r="D35" s="30">
        <f>D34*0.2</f>
        <v/>
      </c>
      <c r="E35" s="30">
        <f>E34*0.2</f>
        <v/>
      </c>
      <c r="F35" s="30">
        <f>F34*0.2</f>
        <v/>
      </c>
      <c r="G35" s="30">
        <f>G34*0.2</f>
        <v/>
      </c>
      <c r="H35" s="30">
        <f>H34*0.2</f>
        <v/>
      </c>
      <c r="I35" s="30">
        <f>I34*0.2</f>
        <v/>
      </c>
      <c r="J35" s="30">
        <f>J34*0.2</f>
        <v/>
      </c>
      <c r="K35" s="30">
        <f>K34*0.2</f>
        <v/>
      </c>
      <c r="L35" s="30">
        <f>L34*0.2</f>
        <v/>
      </c>
      <c r="M35" s="30">
        <f>M34*0.2</f>
        <v/>
      </c>
      <c r="N35" s="30">
        <f>N34*0.2</f>
        <v/>
      </c>
      <c r="O35" s="51">
        <f>SUM(C34:N34)</f>
        <v/>
      </c>
      <c r="P35" s="49" t="n"/>
    </row>
    <row r="36" customFormat="1" s="11">
      <c r="B36" s="18" t="inlineStr">
        <is>
          <t>ЧИСТЫЙ ДОХОД</t>
        </is>
      </c>
      <c r="C36" s="13">
        <f>C34-C35</f>
        <v/>
      </c>
      <c r="D36" s="13">
        <f>D34-D35</f>
        <v/>
      </c>
      <c r="E36" s="13">
        <f>E34-E35</f>
        <v/>
      </c>
      <c r="F36" s="13">
        <f>F34-F35</f>
        <v/>
      </c>
      <c r="G36" s="13">
        <f>G34-G35</f>
        <v/>
      </c>
      <c r="H36" s="13">
        <f>H34-H35</f>
        <v/>
      </c>
      <c r="I36" s="13">
        <f>I34-I35</f>
        <v/>
      </c>
      <c r="J36" s="13">
        <f>J34-J35</f>
        <v/>
      </c>
      <c r="K36" s="13">
        <f>K34-K35</f>
        <v/>
      </c>
      <c r="L36" s="13">
        <f>L34-L35</f>
        <v/>
      </c>
      <c r="M36" s="13">
        <f>M34-M35</f>
        <v/>
      </c>
      <c r="N36" s="13">
        <f>N34-N35</f>
        <v/>
      </c>
      <c r="O36" s="13">
        <f>O33-O34</f>
        <v/>
      </c>
      <c r="P36" s="49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P37" s="47" t="n"/>
    </row>
    <row r="38">
      <c r="I38" s="26" t="n"/>
      <c r="J38" s="26" t="n"/>
      <c r="K38" s="26" t="n"/>
      <c r="L38" s="26" t="n"/>
      <c r="M38" s="26" t="n"/>
      <c r="N38" s="33" t="inlineStr">
        <is>
          <t>Рентабельность до КПН</t>
        </is>
      </c>
      <c r="O38" s="27">
        <f>O33/O5</f>
        <v/>
      </c>
    </row>
    <row r="39">
      <c r="I39" s="26" t="n"/>
      <c r="J39" s="26" t="n"/>
      <c r="K39" s="26" t="n"/>
      <c r="L39" s="26" t="n"/>
      <c r="M39" s="26" t="n"/>
      <c r="N39" s="33" t="n"/>
      <c r="O39" s="2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56"/>
  <sheetViews>
    <sheetView zoomScale="90" zoomScaleNormal="90" workbookViewId="0">
      <pane ySplit="1" topLeftCell="A2" activePane="bottomLeft" state="frozen"/>
      <selection pane="bottomLeft" activeCell="B2" sqref="B2"/>
    </sheetView>
  </sheetViews>
  <sheetFormatPr baseColWidth="8" defaultColWidth="9.109375" defaultRowHeight="14.4"/>
  <cols>
    <col width="1.88671875" customWidth="1" style="23" min="1" max="1"/>
    <col width="41.109375" customWidth="1" style="23" min="2" max="2"/>
    <col width="18.44140625" customWidth="1" style="23" min="3" max="3"/>
    <col width="18.33203125" customWidth="1" style="23" min="4" max="4"/>
    <col width="18.109375" customWidth="1" style="23" min="5" max="5"/>
    <col width="19.109375" customWidth="1" style="23" min="6" max="6"/>
    <col width="18.33203125" bestFit="1" customWidth="1" style="23" min="7" max="9"/>
    <col width="17.77734375" bestFit="1" customWidth="1" style="23" min="10" max="13"/>
    <col width="23.77734375" bestFit="1" customWidth="1" style="23" min="14" max="14"/>
    <col width="20.109375" bestFit="1" customWidth="1" style="11" min="15" max="15"/>
    <col width="19.44140625" customWidth="1" style="23" min="16" max="16"/>
    <col width="9.109375" customWidth="1" style="23" min="17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>
      <c r="B3" s="38" t="inlineStr">
        <is>
          <t>Доход от реализации бетона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1">
        <f>SUM(C3:N3)</f>
        <v/>
      </c>
    </row>
    <row r="4">
      <c r="B4" s="38" t="inlineStr">
        <is>
          <t>Доход от сдачи в аренду</t>
        </is>
      </c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1">
        <f>SUM(C4:N4)</f>
        <v/>
      </c>
    </row>
    <row r="5">
      <c r="B5" s="38" t="inlineStr">
        <is>
          <t>Прочий доход</t>
        </is>
      </c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1">
        <f>SUM(C5:N5)</f>
        <v/>
      </c>
    </row>
    <row r="6">
      <c r="B6" s="38" t="inlineStr">
        <is>
          <t>Прочие доходы (субсидии Даму)</t>
        </is>
      </c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1">
        <f>SUM(C6:N6)</f>
        <v/>
      </c>
    </row>
    <row r="7" ht="15" customHeight="1" thickBot="1">
      <c r="B7" s="14" t="inlineStr">
        <is>
          <t xml:space="preserve">ИТОГО </t>
        </is>
      </c>
      <c r="C7" s="15">
        <f>SUM(C2:C6)</f>
        <v/>
      </c>
      <c r="D7" s="15">
        <f>SUM(D2:D6)</f>
        <v/>
      </c>
      <c r="E7" s="15">
        <f>SUM(E2:E6)</f>
        <v/>
      </c>
      <c r="F7" s="15">
        <f>SUM(F2:F6)</f>
        <v/>
      </c>
      <c r="G7" s="15">
        <f>SUM(G2:G6)</f>
        <v/>
      </c>
      <c r="H7" s="15">
        <f>SUM(H2:H6)</f>
        <v/>
      </c>
      <c r="I7" s="15">
        <f>SUM(I2:I6)</f>
        <v/>
      </c>
      <c r="J7" s="15">
        <f>SUM(J2:J6)</f>
        <v/>
      </c>
      <c r="K7" s="15">
        <f>SUM(K2:K6)</f>
        <v/>
      </c>
      <c r="L7" s="15">
        <f>SUM(L2:L6)</f>
        <v/>
      </c>
      <c r="M7" s="15">
        <f>SUM(M2:M6)</f>
        <v/>
      </c>
      <c r="N7" s="15">
        <f>SUM(N2:N6)</f>
        <v/>
      </c>
      <c r="O7" s="16">
        <f>SUM(O2:O6)</f>
        <v/>
      </c>
    </row>
    <row r="8">
      <c r="B8" s="2" t="inlineStr">
        <is>
          <t>Прямые расходы Бетон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customFormat="1" s="23">
      <c r="B9" s="33" t="inlineStr">
        <is>
          <t>GPS</t>
        </is>
      </c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51">
        <f>SUM(C9:N9)</f>
        <v/>
      </c>
    </row>
    <row r="10" customFormat="1" s="23">
      <c r="B10" s="33" t="inlineStr">
        <is>
          <t>Аренда техники</t>
        </is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</row>
    <row r="11" customFormat="1" s="23">
      <c r="B11" s="33" t="inlineStr">
        <is>
          <t>База содержание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</row>
    <row r="12" customFormat="1" s="23">
      <c r="B12" s="33" t="inlineStr">
        <is>
          <t>ГСМ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</row>
    <row r="13" customFormat="1" s="23">
      <c r="B13" s="33" t="inlineStr">
        <is>
          <t>Заработная плата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</row>
    <row r="14">
      <c r="B14" s="33" t="inlineStr">
        <is>
          <t>Интернет+связь</t>
        </is>
      </c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</row>
    <row r="15" customFormat="1" s="23">
      <c r="B15" s="33" t="inlineStr">
        <is>
          <t>Коммунальные услуги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</row>
    <row r="16">
      <c r="B16" s="33" t="inlineStr">
        <is>
          <t>Налоги</t>
        </is>
      </c>
      <c r="C16" s="39" t="n"/>
      <c r="D16" s="33" t="n"/>
      <c r="E16" s="33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51">
        <f>SUM(C16:N16)</f>
        <v/>
      </c>
    </row>
    <row r="17">
      <c r="B17" s="33" t="inlineStr">
        <is>
          <t>Прочие расходы</t>
        </is>
      </c>
      <c r="C17" s="39" t="n"/>
      <c r="D17" s="33" t="n"/>
      <c r="E17" s="33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</row>
    <row r="18" customFormat="1" s="23">
      <c r="B18" s="33" t="inlineStr">
        <is>
          <t>Расходны на наем жилья (Эркан)  и Суточные</t>
        </is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</row>
    <row r="19" customFormat="1" s="23">
      <c r="B19" s="33" t="inlineStr">
        <is>
          <t>Расходы на проезд</t>
        </is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</row>
    <row r="20">
      <c r="B20" s="39" t="inlineStr">
        <is>
          <t xml:space="preserve">Расходы по перевозке </t>
        </is>
      </c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</row>
    <row r="21">
      <c r="B21" s="33" t="inlineStr">
        <is>
          <t>Расходы по СИЗ</t>
        </is>
      </c>
      <c r="C21" s="39" t="n"/>
      <c r="D21" s="33" t="n"/>
      <c r="E21" s="33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</row>
    <row r="22">
      <c r="B22" s="33" t="inlineStr">
        <is>
          <t>Расходы по экологии</t>
        </is>
      </c>
      <c r="C22" s="39" t="n"/>
      <c r="D22" s="33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</row>
    <row r="23">
      <c r="B23" s="33" t="inlineStr">
        <is>
          <t>Расходы по ремонту авто/ оборудования</t>
        </is>
      </c>
      <c r="C23" s="39" t="n"/>
      <c r="D23" s="33" t="n"/>
      <c r="E23" s="33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</row>
    <row r="24">
      <c r="B24" s="33" t="inlineStr">
        <is>
          <t>Себестоимость товарного бетона</t>
        </is>
      </c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</row>
    <row r="25">
      <c r="B25" s="33" t="inlineStr">
        <is>
          <t>Списанные материалы</t>
        </is>
      </c>
      <c r="C25" s="39" t="n"/>
      <c r="D25" s="33" t="n"/>
      <c r="E25" s="33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</row>
    <row r="26">
      <c r="B26" s="33" t="inlineStr">
        <is>
          <t>Страхование</t>
        </is>
      </c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</row>
    <row r="27">
      <c r="B27" s="58" t="inlineStr">
        <is>
          <t>Расходы на финансирование</t>
        </is>
      </c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</row>
    <row r="28" ht="16.2" customHeight="1">
      <c r="B28" s="58" t="inlineStr">
        <is>
          <t>Амортизация</t>
        </is>
      </c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</row>
    <row r="29">
      <c r="B29" s="13" t="inlineStr">
        <is>
          <t>Итого</t>
        </is>
      </c>
      <c r="C29" s="13">
        <f>SUM(C9:C28)</f>
        <v/>
      </c>
      <c r="D29" s="13">
        <f>SUM(D9:D28)</f>
        <v/>
      </c>
      <c r="E29" s="13">
        <f>SUM(E9:E28)</f>
        <v/>
      </c>
      <c r="F29" s="13">
        <f>SUM(F9:F28)</f>
        <v/>
      </c>
      <c r="G29" s="13">
        <f>SUM(G9:G28)</f>
        <v/>
      </c>
      <c r="H29" s="13">
        <f>SUM(H9:H28)</f>
        <v/>
      </c>
      <c r="I29" s="13">
        <f>SUM(I9:I28)</f>
        <v/>
      </c>
      <c r="J29" s="13">
        <f>SUM(J9:J28)</f>
        <v/>
      </c>
      <c r="K29" s="13">
        <f>SUM(K9:K28)</f>
        <v/>
      </c>
      <c r="L29" s="13">
        <f>SUM(L9:L28)</f>
        <v/>
      </c>
      <c r="M29" s="13">
        <f>SUM(M9:M28)</f>
        <v/>
      </c>
      <c r="N29" s="13">
        <f>SUM(N9:N28)</f>
        <v/>
      </c>
      <c r="O29" s="13">
        <f>SUM(O19:O26)</f>
        <v/>
      </c>
    </row>
    <row r="30">
      <c r="B30" s="54" t="inlineStr">
        <is>
          <t>Административные расходы</t>
        </is>
      </c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1" t="n"/>
    </row>
    <row r="31" customFormat="1" s="23">
      <c r="B31" s="33" t="inlineStr">
        <is>
          <t>Расходы по заработной плате</t>
        </is>
      </c>
      <c r="C31" s="33" t="n"/>
      <c r="D31" s="39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51">
        <f>SUM(C29:N29)</f>
        <v/>
      </c>
    </row>
    <row r="32">
      <c r="B32" s="33" t="inlineStr">
        <is>
          <t>Налоги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51">
        <f>SUM(C30:N30)</f>
        <v/>
      </c>
    </row>
    <row r="33">
      <c r="B33" s="33" t="inlineStr">
        <is>
          <t>ГСМ</t>
        </is>
      </c>
      <c r="C33" s="39" t="n"/>
      <c r="D33" s="39" t="n"/>
      <c r="E33" s="39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51">
        <f>SUM(C31:N31)</f>
        <v/>
      </c>
    </row>
    <row r="34">
      <c r="B34" s="33" t="inlineStr">
        <is>
          <t>Банковская комиссия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51">
        <f>SUM(C32:N32)</f>
        <v/>
      </c>
    </row>
    <row r="35">
      <c r="B35" s="33" t="inlineStr">
        <is>
          <t>Амортизация ФА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51">
        <f>SUM(C33:N33)</f>
        <v/>
      </c>
    </row>
    <row r="36">
      <c r="B36" s="33" t="inlineStr">
        <is>
          <t>Подписка</t>
        </is>
      </c>
      <c r="C36" s="33" t="n"/>
      <c r="D36" s="33" t="n"/>
      <c r="E36" s="33" t="n"/>
      <c r="F36" s="33" t="n"/>
      <c r="G36" s="33" t="n"/>
      <c r="H36" s="33" t="n"/>
      <c r="I36" s="23" t="n"/>
      <c r="J36" s="23" t="n"/>
      <c r="K36" s="23" t="n"/>
      <c r="L36" s="23" t="n"/>
      <c r="M36" s="23" t="n"/>
      <c r="N36" s="23" t="n"/>
      <c r="O36" s="51">
        <f>SUM(C34:N34)</f>
        <v/>
      </c>
    </row>
    <row r="37">
      <c r="B37" s="33" t="inlineStr">
        <is>
          <t>Аудиторские/ консультационные услуги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51">
        <f>SUM(C35:N35)</f>
        <v/>
      </c>
    </row>
    <row r="38">
      <c r="B38" s="33" t="inlineStr">
        <is>
          <t>Услуги связи+интернет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51">
        <f>SUM(C36:N36)</f>
        <v/>
      </c>
    </row>
    <row r="39" ht="28.8" customHeight="1">
      <c r="B39" s="33" t="inlineStr">
        <is>
          <t>Мед осмотр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51">
        <f>SUM(C37:N37)</f>
        <v/>
      </c>
    </row>
    <row r="40">
      <c r="B40" s="33" t="inlineStr">
        <is>
          <t>Расходы по страховке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51">
        <f>SUM(C38:N38)</f>
        <v/>
      </c>
    </row>
    <row r="41">
      <c r="B41" s="36" t="inlineStr">
        <is>
          <t>Командировочные расходы(проезд+проживание+суточные)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51">
        <f>SUM(C39:N39)</f>
        <v/>
      </c>
    </row>
    <row r="42">
      <c r="B42" s="33" t="inlineStr">
        <is>
          <t>Содержание офиса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51">
        <f>SUM(C40:N40)</f>
        <v/>
      </c>
    </row>
    <row r="43" customFormat="1" s="23">
      <c r="B43" s="33" t="inlineStr">
        <is>
          <t>Обучение сотрудников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51">
        <f>SUM(C41:N41)</f>
        <v/>
      </c>
    </row>
    <row r="44" customFormat="1" s="23">
      <c r="B44" s="33" t="inlineStr">
        <is>
          <t>Прочие расходы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51">
        <f>SUM(C42:N42)</f>
        <v/>
      </c>
    </row>
    <row r="45">
      <c r="B45" s="33" t="inlineStr">
        <is>
          <t>Услуги по доставке корресп.и др.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51">
        <f>SUM(C43:N43)</f>
        <v/>
      </c>
    </row>
    <row r="46" ht="15" customFormat="1" customHeight="1" s="30">
      <c r="B46" s="33" t="inlineStr">
        <is>
          <t>Вознаграждения по лизингу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51">
        <f>SUM(C44:N44)</f>
        <v/>
      </c>
    </row>
    <row r="47" ht="15" customFormat="1" customHeight="1" s="30">
      <c r="B47" s="13" t="inlineStr">
        <is>
          <t>Итого</t>
        </is>
      </c>
      <c r="C47" s="42">
        <f>SUM(C31:C46)</f>
        <v/>
      </c>
      <c r="D47" s="42">
        <f>SUM(D31:D46)</f>
        <v/>
      </c>
      <c r="E47" s="42">
        <f>SUM(E31:E46)</f>
        <v/>
      </c>
      <c r="F47" s="42">
        <f>SUM(F31:F46)</f>
        <v/>
      </c>
      <c r="G47" s="42">
        <f>SUM(G31:G46)</f>
        <v/>
      </c>
      <c r="H47" s="42">
        <f>SUM(H31:H46)</f>
        <v/>
      </c>
      <c r="I47" s="42">
        <f>SUM(I31:I46)</f>
        <v/>
      </c>
      <c r="J47" s="42">
        <f>SUM(J31:J46)</f>
        <v/>
      </c>
      <c r="K47" s="42">
        <f>SUM(K31:K46)</f>
        <v/>
      </c>
      <c r="L47" s="42">
        <f>SUM(L31:L46)</f>
        <v/>
      </c>
      <c r="M47" s="42">
        <f>SUM(M31:M46)</f>
        <v/>
      </c>
      <c r="N47" s="42">
        <f>SUM(N31:N46)</f>
        <v/>
      </c>
      <c r="O47" s="42">
        <f>SUM(O29:O44)</f>
        <v/>
      </c>
    </row>
    <row r="48" customFormat="1" s="30">
      <c r="B48" s="29" t="inlineStr">
        <is>
          <t>Прочие доходы</t>
        </is>
      </c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51">
        <f>SUM(C46:N46)</f>
        <v/>
      </c>
    </row>
    <row r="49" customFormat="1" s="30">
      <c r="B49" s="29" t="inlineStr">
        <is>
          <t>Прочие расходы</t>
        </is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51">
        <f>SUM(C47:N47)</f>
        <v/>
      </c>
    </row>
    <row r="50" customFormat="1" s="30">
      <c r="B50" s="18" t="inlineStr">
        <is>
          <t>ДОХОД ДО КПН</t>
        </is>
      </c>
      <c r="C50" s="13">
        <f>C7-C29-C47+C48-C49</f>
        <v/>
      </c>
      <c r="D50" s="13">
        <f>D7-D29-D47+D48-D49</f>
        <v/>
      </c>
      <c r="E50" s="13">
        <f>E7-E29-E47+E48-E49</f>
        <v/>
      </c>
      <c r="F50" s="13">
        <f>F7-F29-F47+F48-F49</f>
        <v/>
      </c>
      <c r="G50" s="13">
        <f>G7-G29-G47+G48-G49</f>
        <v/>
      </c>
      <c r="H50" s="13">
        <f>H7-H29-H47+H48-H49</f>
        <v/>
      </c>
      <c r="I50" s="13">
        <f>I7-I29-I47+I48-I49</f>
        <v/>
      </c>
      <c r="J50" s="13">
        <f>J7-J29-J47+J48-J49</f>
        <v/>
      </c>
      <c r="K50" s="13">
        <f>K7-K29-K47+K48-K49</f>
        <v/>
      </c>
      <c r="L50" s="13">
        <f>L7-L29-L47+L48-L49</f>
        <v/>
      </c>
      <c r="M50" s="13">
        <f>M7-M29-M47+M48-M49</f>
        <v/>
      </c>
      <c r="N50" s="13">
        <f>N7-N29-N47+N48-N49</f>
        <v/>
      </c>
      <c r="O50" s="13">
        <f>O7-O27-O45+O46-O47</f>
        <v/>
      </c>
    </row>
    <row r="51" customFormat="1" s="11">
      <c r="B51" s="29" t="inlineStr">
        <is>
          <t>КПН</t>
        </is>
      </c>
      <c r="C51" s="30">
        <f>C50*0.2</f>
        <v/>
      </c>
      <c r="D51" s="30">
        <f>D50*0.2</f>
        <v/>
      </c>
      <c r="E51" s="30">
        <f>E50*0.2</f>
        <v/>
      </c>
      <c r="F51" s="30">
        <f>F50*0.2</f>
        <v/>
      </c>
      <c r="G51" s="30">
        <f>G50*0.2</f>
        <v/>
      </c>
      <c r="H51" s="30">
        <f>H50*0.2</f>
        <v/>
      </c>
      <c r="I51" s="30">
        <f>I50*0.2</f>
        <v/>
      </c>
      <c r="J51" s="30">
        <f>J50*0.2</f>
        <v/>
      </c>
      <c r="K51" s="30">
        <f>K50*0.2</f>
        <v/>
      </c>
      <c r="L51" s="30">
        <f>L50*0.2</f>
        <v/>
      </c>
      <c r="M51" s="30">
        <f>M50*0.2</f>
        <v/>
      </c>
      <c r="N51" s="30">
        <f>N50*0.2</f>
        <v/>
      </c>
      <c r="O51" s="51">
        <f>SUM(C49:N49)</f>
        <v/>
      </c>
    </row>
    <row r="52">
      <c r="B52" s="18" t="inlineStr">
        <is>
          <t>ЧИСТЫЙ ДОХОД</t>
        </is>
      </c>
      <c r="C52" s="13">
        <f>C50-C51</f>
        <v/>
      </c>
      <c r="D52" s="13">
        <f>D50-D51</f>
        <v/>
      </c>
      <c r="E52" s="13">
        <f>E50-E51</f>
        <v/>
      </c>
      <c r="F52" s="13">
        <f>F50-F51</f>
        <v/>
      </c>
      <c r="G52" s="13">
        <f>G50-G51</f>
        <v/>
      </c>
      <c r="H52" s="13">
        <f>H50-H51</f>
        <v/>
      </c>
      <c r="I52" s="13">
        <f>I50-I51</f>
        <v/>
      </c>
      <c r="J52" s="13">
        <f>J50-J51</f>
        <v/>
      </c>
      <c r="K52" s="13">
        <f>K50-K51</f>
        <v/>
      </c>
      <c r="L52" s="13">
        <f>L50-L51</f>
        <v/>
      </c>
      <c r="M52" s="13">
        <f>M50-M51</f>
        <v/>
      </c>
      <c r="N52" s="13">
        <f>N50-N51</f>
        <v/>
      </c>
      <c r="O52" s="13">
        <f>O48-O49</f>
        <v/>
      </c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P53" s="23" t="n"/>
    </row>
    <row r="54">
      <c r="C54" s="26">
        <f>1-C29/C7</f>
        <v/>
      </c>
      <c r="D54" s="26">
        <f>1-D29/D7</f>
        <v/>
      </c>
      <c r="E54" s="26">
        <f>1-E29/E7</f>
        <v/>
      </c>
      <c r="F54" s="26">
        <f>1-F29/F7</f>
        <v/>
      </c>
      <c r="G54" s="26">
        <f>1-G29/G7</f>
        <v/>
      </c>
      <c r="H54" s="26">
        <f>1-H29/H7</f>
        <v/>
      </c>
      <c r="I54" s="26">
        <f>1-I29/I7</f>
        <v/>
      </c>
      <c r="J54" s="26">
        <f>1-J29/J7</f>
        <v/>
      </c>
      <c r="K54" s="26">
        <f>1-K29/K7</f>
        <v/>
      </c>
      <c r="L54" s="26">
        <f>1-L29/L7</f>
        <v/>
      </c>
      <c r="M54" s="26">
        <f>1-M29/M7</f>
        <v/>
      </c>
      <c r="N54" s="26">
        <f>1-N29/N7</f>
        <v/>
      </c>
    </row>
    <row r="56">
      <c r="N56" s="33" t="inlineStr">
        <is>
          <t>Рентабельность до КПН</t>
        </is>
      </c>
      <c r="O56" s="27">
        <f>O48/O7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Sulpak123</dc:creator>
  <dcterms:created xmlns:dcterms="http://purl.org/dc/terms/" xmlns:xsi="http://www.w3.org/2001/XMLSchema-instance" xsi:type="dcterms:W3CDTF">2015-02-07T14:56:09Z</dcterms:created>
  <dcterms:modified xmlns:dcterms="http://purl.org/dc/terms/" xmlns:xsi="http://www.w3.org/2001/XMLSchema-instance" xsi:type="dcterms:W3CDTF">2026-06-29T04:09:01Z</dcterms:modified>
  <cp:lastModifiedBy>Aliya Akhatova</cp:lastModifiedBy>
</cp:coreProperties>
</file>